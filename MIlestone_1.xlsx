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wathi\Downloads\"/>
    </mc:Choice>
  </mc:AlternateContent>
  <xr:revisionPtr revIDLastSave="0" documentId="8_{8AD3205C-551F-4804-B781-C764AF459855}" xr6:coauthVersionLast="47" xr6:coauthVersionMax="47" xr10:uidLastSave="{00000000-0000-0000-0000-000000000000}"/>
  <bookViews>
    <workbookView xWindow="-110" yWindow="-110" windowWidth="19420" windowHeight="10300" xr2:uid="{217FDFBD-5F5B-4E14-ACB6-429124A43935}"/>
  </bookViews>
  <sheets>
    <sheet name="Players" sheetId="1" r:id="rId1"/>
    <sheet name="Pivot_Analysis" sheetId="2" r:id="rId2"/>
    <sheet name="Modeling_Sheet" sheetId="3" r:id="rId3"/>
    <sheet name="Dashboard" sheetId="4" r:id="rId4"/>
  </sheets>
  <definedNames>
    <definedName name="Slicer_Age_Group">#N/A</definedName>
    <definedName name="Slicer_Posi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B6" i="3"/>
  <c r="E1" i="3" s="1"/>
</calcChain>
</file>

<file path=xl/sharedStrings.xml><?xml version="1.0" encoding="utf-8"?>
<sst xmlns="http://schemas.openxmlformats.org/spreadsheetml/2006/main" count="430" uniqueCount="145">
  <si>
    <t>Rank</t>
  </si>
  <si>
    <t>Origin</t>
  </si>
  <si>
    <t>Player</t>
  </si>
  <si>
    <t>From(Country)</t>
  </si>
  <si>
    <t>From(Club)</t>
  </si>
  <si>
    <t>To(Country)</t>
  </si>
  <si>
    <t>To(Club)</t>
  </si>
  <si>
    <t>Position</t>
  </si>
  <si>
    <t>Fee(â‚¬ mln)</t>
  </si>
  <si>
    <t>Fee(Â£ mln)</t>
  </si>
  <si>
    <t>Year</t>
  </si>
  <si>
    <t>Born</t>
  </si>
  <si>
    <t>Transfer_age</t>
  </si>
  <si>
    <t>Fee(Raw Euros)</t>
  </si>
  <si>
    <t>Brazil</t>
  </si>
  <si>
    <t>Neymar</t>
  </si>
  <si>
    <t>Spain</t>
  </si>
  <si>
    <t>Barcelona</t>
  </si>
  <si>
    <t>France</t>
  </si>
  <si>
    <t>Paris Saint-Germain</t>
  </si>
  <si>
    <t>Forward</t>
  </si>
  <si>
    <t>Age Group Label</t>
  </si>
  <si>
    <t>Kylian MbappÃ©</t>
  </si>
  <si>
    <t>Monaco</t>
  </si>
  <si>
    <t>22-27 Peak</t>
  </si>
  <si>
    <t>Philippe Coutinho</t>
  </si>
  <si>
    <t>England</t>
  </si>
  <si>
    <t>Liverpool</t>
  </si>
  <si>
    <t>Midfielder</t>
  </si>
  <si>
    <t>U-22 Prospect</t>
  </si>
  <si>
    <t>Portugal</t>
  </si>
  <si>
    <t>JoÃ£o FÃ©lix</t>
  </si>
  <si>
    <t>Benfica</t>
  </si>
  <si>
    <t>AtlÃ©tico Madrid</t>
  </si>
  <si>
    <t>Antoine Griezmann</t>
  </si>
  <si>
    <t>Jack Grealish</t>
  </si>
  <si>
    <t>Aston Villa</t>
  </si>
  <si>
    <t>Manchester City</t>
  </si>
  <si>
    <t>28+ Veteran</t>
  </si>
  <si>
    <t>Paul Pogba</t>
  </si>
  <si>
    <t>Italy</t>
  </si>
  <si>
    <t>Juventus</t>
  </si>
  <si>
    <t>Manchester United</t>
  </si>
  <si>
    <t>Ousmane DembÃ©lÃ©</t>
  </si>
  <si>
    <t>Germany</t>
  </si>
  <si>
    <t>Borussia Dortmund</t>
  </si>
  <si>
    <t>Wakes</t>
  </si>
  <si>
    <t>Gareth Bale</t>
  </si>
  <si>
    <t>Tottenham Hotspur</t>
  </si>
  <si>
    <t>Real Madrid</t>
  </si>
  <si>
    <t>Age Min</t>
  </si>
  <si>
    <t>Cristiano Ronaldo</t>
  </si>
  <si>
    <t>Belgium</t>
  </si>
  <si>
    <t>Eden Hazard</t>
  </si>
  <si>
    <t>Chelsea</t>
  </si>
  <si>
    <t>Argentina</t>
  </si>
  <si>
    <t>Gonzalo HiguaÃ­n</t>
  </si>
  <si>
    <t>Napoli</t>
  </si>
  <si>
    <t>Striker</t>
  </si>
  <si>
    <t>Harry Maguire</t>
  </si>
  <si>
    <t>Leicester City</t>
  </si>
  <si>
    <t>Defender</t>
  </si>
  <si>
    <t>Romelu Lukaku</t>
  </si>
  <si>
    <t>Everton</t>
  </si>
  <si>
    <t>Total Market Sum</t>
  </si>
  <si>
    <t>Jadon Sancho</t>
  </si>
  <si>
    <t>Netherlands</t>
  </si>
  <si>
    <t>Virgil van Dijk</t>
  </si>
  <si>
    <t>Southampton</t>
  </si>
  <si>
    <t>Uruguay</t>
  </si>
  <si>
    <t>Luis SuÃ¡rez</t>
  </si>
  <si>
    <t>Kepa Arrizabalaga</t>
  </si>
  <si>
    <t>Athletic Bilbao</t>
  </si>
  <si>
    <t>Goalkeeper</t>
  </si>
  <si>
    <t>Ivory Coast</t>
  </si>
  <si>
    <t>Nicolas PÃ©pÃ©</t>
  </si>
  <si>
    <t>Lille</t>
  </si>
  <si>
    <t>Arsenal</t>
  </si>
  <si>
    <t>Lucas Hernandez</t>
  </si>
  <si>
    <t>Bayern Munich</t>
  </si>
  <si>
    <t>Internazionale</t>
  </si>
  <si>
    <t>Kai Havertz</t>
  </si>
  <si>
    <t>Bayer Leverkusen</t>
  </si>
  <si>
    <t>Zinedine Zidane</t>
  </si>
  <si>
    <t>Ãngel Di MarÃ­a</t>
  </si>
  <si>
    <t>Matthijs de Ligt</t>
  </si>
  <si>
    <t>Ajax</t>
  </si>
  <si>
    <t>Frenkie de Jong</t>
  </si>
  <si>
    <t>Colombia</t>
  </si>
  <si>
    <t>James RodrÃ­guez</t>
  </si>
  <si>
    <t>Kevin De Bruyne</t>
  </si>
  <si>
    <t>VfL Wolfsburg</t>
  </si>
  <si>
    <t>Arthur</t>
  </si>
  <si>
    <t>Rodri</t>
  </si>
  <si>
    <t>Nigeria</t>
  </si>
  <si>
    <t>Victor Osimhen</t>
  </si>
  <si>
    <t>Thomas Lemar</t>
  </si>
  <si>
    <t>Sweden</t>
  </si>
  <si>
    <t>SwedenÂ Zlatan IbrahimoviÄ‡</t>
  </si>
  <si>
    <t>RÃºben Dias</t>
  </si>
  <si>
    <t>Algeria</t>
  </si>
  <si>
    <t>Riyad Mahrez</t>
  </si>
  <si>
    <t>KakÃ¡</t>
  </si>
  <si>
    <t>Milan</t>
  </si>
  <si>
    <t>Ãlvaro Morata</t>
  </si>
  <si>
    <t>Aymeric Laporte</t>
  </si>
  <si>
    <t>JoÃ£o Cancelo</t>
  </si>
  <si>
    <t>Edinson Cavani</t>
  </si>
  <si>
    <t>United States</t>
  </si>
  <si>
    <t>Christian Pulisic</t>
  </si>
  <si>
    <t>Gabon</t>
  </si>
  <si>
    <t>Pierre-Emerick Aubameyang</t>
  </si>
  <si>
    <t>Raheem Sterling</t>
  </si>
  <si>
    <t>Alisson</t>
  </si>
  <si>
    <t>Roma</t>
  </si>
  <si>
    <t>LuÃ­s Figo</t>
  </si>
  <si>
    <t>Oscar</t>
  </si>
  <si>
    <t>China</t>
  </si>
  <si>
    <t>Shanghai SIPG</t>
  </si>
  <si>
    <t>Serbia</t>
  </si>
  <si>
    <t>Luka JoviÄ‡</t>
  </si>
  <si>
    <t>Eintracht Frankfurt</t>
  </si>
  <si>
    <t>Morocco</t>
  </si>
  <si>
    <t>Achraf Hakimi</t>
  </si>
  <si>
    <t>Guinea</t>
  </si>
  <si>
    <t>Naby KeÃ¯ta</t>
  </si>
  <si>
    <t>RB Leipzig</t>
  </si>
  <si>
    <t>Tanguy Ndombele</t>
  </si>
  <si>
    <t>Lyon</t>
  </si>
  <si>
    <t>Radamel Falcao</t>
  </si>
  <si>
    <t>Bosnia and Herzegovina</t>
  </si>
  <si>
    <t>Miralem PjaniÄ‡</t>
  </si>
  <si>
    <t>Age group</t>
  </si>
  <si>
    <t>Row Labels</t>
  </si>
  <si>
    <t>Grand Total</t>
  </si>
  <si>
    <t>Count of Player</t>
  </si>
  <si>
    <t>Average of Fee(â‚¬ mln)</t>
  </si>
  <si>
    <t>Sum of Fee(Raw Euros)</t>
  </si>
  <si>
    <t>Factor: Age Group</t>
  </si>
  <si>
    <t>Factor: Transfer Year</t>
  </si>
  <si>
    <t>Base Fee Multiplier</t>
  </si>
  <si>
    <t>SIMULATED TRANSFER FEE (€)</t>
  </si>
  <si>
    <t>22-27  Peak</t>
  </si>
  <si>
    <t>28+  Veteran</t>
  </si>
  <si>
    <t>U-22  Prospect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</si>
</sst>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2]\ #,##0;[Red]\-[$€-2]\ #,##0"/>
    <numFmt numFmtId="165" formatCode="#,##0\ [$€-1];[Red]\-#,##0\ [$€-1]"/>
    <numFmt numFmtId="166" formatCode="[&gt;999999]0,,&quot;M&quot;;0"/>
    <numFmt numFmtId="167" formatCode="0&quot;M&quot;"/>
    <numFmt numFmtId="168" formatCode="[$£-809]#,##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165"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0" fillId="0" borderId="10" xfId="0" applyBorder="1"/>
    <xf numFmtId="0" fontId="0" fillId="35" borderId="0" xfId="0" applyFill="1"/>
    <xf numFmtId="0" fontId="0" fillId="33" borderId="10" xfId="0" applyFill="1" applyBorder="1"/>
    <xf numFmtId="0" fontId="0" fillId="36" borderId="10" xfId="0" applyFill="1" applyBorder="1"/>
    <xf numFmtId="0" fontId="0" fillId="37" borderId="10" xfId="0" applyFill="1" applyBorder="1"/>
    <xf numFmtId="0" fontId="0" fillId="0" borderId="11" xfId="0" applyBorder="1"/>
    <xf numFmtId="166" fontId="0" fillId="0" borderId="0" xfId="0" applyNumberFormat="1"/>
    <xf numFmtId="167"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7" formatCode="0&quot;M&quot;"/>
    </dxf>
    <dxf>
      <numFmt numFmtId="166" formatCode="[&gt;999999]0,,&quot;M&quot;;0"/>
    </dxf>
    <dxf>
      <numFmt numFmtId="0" formatCode="General"/>
    </dxf>
    <dxf>
      <numFmt numFmtId="165" formatCode="#,##0\ [$€-1];[Red]\-#,##0\ [$€-1]"/>
    </dxf>
    <dxf>
      <numFmt numFmtId="168" formatCode="[$£-809]#,##0.00"/>
    </dxf>
    <dxf>
      <numFmt numFmtId="164" formatCode="[$€-2]\ #,##0;[Red]\-[$€-2]\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[MIlestone_1.xlsx]Pivot_Analysis!PivotTable1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POSITONAL VALUE VS VOLUME</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Average of Fee(â‚¬ mln)</c:v>
                </c:pt>
              </c:strCache>
            </c:strRef>
          </c:tx>
          <c:spPr>
            <a:solidFill>
              <a:schemeClr val="accent1"/>
            </a:solidFill>
            <a:ln>
              <a:noFill/>
            </a:ln>
            <a:effectLst/>
          </c:spPr>
          <c:invertIfNegative val="0"/>
          <c:cat>
            <c:strRef>
              <c:f>Pivot_Analysis!$A$2:$A$7</c:f>
              <c:strCache>
                <c:ptCount val="5"/>
                <c:pt idx="0">
                  <c:v>Defender</c:v>
                </c:pt>
                <c:pt idx="1">
                  <c:v>Forward</c:v>
                </c:pt>
                <c:pt idx="2">
                  <c:v>Goalkeeper</c:v>
                </c:pt>
                <c:pt idx="3">
                  <c:v>Midfielder</c:v>
                </c:pt>
                <c:pt idx="4">
                  <c:v>Striker</c:v>
                </c:pt>
              </c:strCache>
            </c:strRef>
          </c:cat>
          <c:val>
            <c:numRef>
              <c:f>Pivot_Analysis!$B$2:$B$7</c:f>
              <c:numCache>
                <c:formatCode>General</c:formatCode>
                <c:ptCount val="5"/>
                <c:pt idx="0">
                  <c:v>73.125</c:v>
                </c:pt>
                <c:pt idx="1">
                  <c:v>106.57142857142857</c:v>
                </c:pt>
                <c:pt idx="2">
                  <c:v>71.5</c:v>
                </c:pt>
                <c:pt idx="3">
                  <c:v>77.599999999999994</c:v>
                </c:pt>
                <c:pt idx="4">
                  <c:v>72.2</c:v>
                </c:pt>
              </c:numCache>
            </c:numRef>
          </c:val>
          <c:extLst>
            <c:ext xmlns:c16="http://schemas.microsoft.com/office/drawing/2014/chart" uri="{C3380CC4-5D6E-409C-BE32-E72D297353CC}">
              <c16:uniqueId val="{00000000-2CB6-4713-AB84-66D7894D6A61}"/>
            </c:ext>
          </c:extLst>
        </c:ser>
        <c:dLbls>
          <c:showLegendKey val="0"/>
          <c:showVal val="0"/>
          <c:showCatName val="0"/>
          <c:showSerName val="0"/>
          <c:showPercent val="0"/>
          <c:showBubbleSize val="0"/>
        </c:dLbls>
        <c:gapWidth val="219"/>
        <c:overlap val="-27"/>
        <c:axId val="717163439"/>
        <c:axId val="813472943"/>
      </c:barChart>
      <c:lineChart>
        <c:grouping val="standard"/>
        <c:varyColors val="0"/>
        <c:ser>
          <c:idx val="1"/>
          <c:order val="1"/>
          <c:tx>
            <c:strRef>
              <c:f>Pivot_Analysis!$C$1</c:f>
              <c:strCache>
                <c:ptCount val="1"/>
                <c:pt idx="0">
                  <c:v>Count of Player</c:v>
                </c:pt>
              </c:strCache>
            </c:strRef>
          </c:tx>
          <c:spPr>
            <a:ln w="28575" cap="rnd">
              <a:solidFill>
                <a:schemeClr val="accent2"/>
              </a:solidFill>
              <a:round/>
            </a:ln>
            <a:effectLst/>
          </c:spPr>
          <c:marker>
            <c:symbol val="none"/>
          </c:marker>
          <c:cat>
            <c:strRef>
              <c:f>Pivot_Analysis!$A$2:$A$7</c:f>
              <c:strCache>
                <c:ptCount val="5"/>
                <c:pt idx="0">
                  <c:v>Defender</c:v>
                </c:pt>
                <c:pt idx="1">
                  <c:v>Forward</c:v>
                </c:pt>
                <c:pt idx="2">
                  <c:v>Goalkeeper</c:v>
                </c:pt>
                <c:pt idx="3">
                  <c:v>Midfielder</c:v>
                </c:pt>
                <c:pt idx="4">
                  <c:v>Striker</c:v>
                </c:pt>
              </c:strCache>
            </c:strRef>
          </c:cat>
          <c:val>
            <c:numRef>
              <c:f>Pivot_Analysis!$C$2:$C$7</c:f>
              <c:numCache>
                <c:formatCode>General</c:formatCode>
                <c:ptCount val="5"/>
                <c:pt idx="0">
                  <c:v>8</c:v>
                </c:pt>
                <c:pt idx="1">
                  <c:v>14</c:v>
                </c:pt>
                <c:pt idx="2">
                  <c:v>2</c:v>
                </c:pt>
                <c:pt idx="3">
                  <c:v>20</c:v>
                </c:pt>
                <c:pt idx="4">
                  <c:v>10</c:v>
                </c:pt>
              </c:numCache>
            </c:numRef>
          </c:val>
          <c:smooth val="0"/>
          <c:extLst>
            <c:ext xmlns:c16="http://schemas.microsoft.com/office/drawing/2014/chart" uri="{C3380CC4-5D6E-409C-BE32-E72D297353CC}">
              <c16:uniqueId val="{00000001-2CB6-4713-AB84-66D7894D6A61}"/>
            </c:ext>
          </c:extLst>
        </c:ser>
        <c:dLbls>
          <c:showLegendKey val="0"/>
          <c:showVal val="0"/>
          <c:showCatName val="0"/>
          <c:showSerName val="0"/>
          <c:showPercent val="0"/>
          <c:showBubbleSize val="0"/>
        </c:dLbls>
        <c:marker val="1"/>
        <c:smooth val="0"/>
        <c:axId val="717163439"/>
        <c:axId val="813472943"/>
      </c:lineChart>
      <c:catAx>
        <c:axId val="71716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472943"/>
        <c:crosses val="autoZero"/>
        <c:auto val="1"/>
        <c:lblAlgn val="ctr"/>
        <c:lblOffset val="100"/>
        <c:noMultiLvlLbl val="0"/>
      </c:catAx>
      <c:valAx>
        <c:axId val="81347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63439"/>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[MIlestone_1.xlsx]Pivot_Analysis!PivotTable2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BUYING COUNTRIES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Pivot_Analysis!$F$1</c:f>
              <c:strCache>
                <c:ptCount val="1"/>
                <c:pt idx="0">
                  <c:v>Total</c:v>
                </c:pt>
              </c:strCache>
            </c:strRef>
          </c:tx>
          <c:spPr>
            <a:solidFill>
              <a:schemeClr val="accent1"/>
            </a:solidFill>
            <a:ln>
              <a:noFill/>
            </a:ln>
            <a:effectLst/>
          </c:spPr>
          <c:invertIfNegative val="0"/>
          <c:cat>
            <c:strRef>
              <c:f>Pivot_Analysis!$E$2:$E$8</c:f>
              <c:strCache>
                <c:ptCount val="6"/>
                <c:pt idx="0">
                  <c:v>China</c:v>
                </c:pt>
                <c:pt idx="1">
                  <c:v>England</c:v>
                </c:pt>
                <c:pt idx="2">
                  <c:v>France</c:v>
                </c:pt>
                <c:pt idx="3">
                  <c:v>Germany</c:v>
                </c:pt>
                <c:pt idx="4">
                  <c:v>Italy</c:v>
                </c:pt>
                <c:pt idx="5">
                  <c:v>Spain</c:v>
                </c:pt>
              </c:strCache>
            </c:strRef>
          </c:cat>
          <c:val>
            <c:numRef>
              <c:f>Pivot_Analysis!$F$2:$F$8</c:f>
              <c:numCache>
                <c:formatCode>General</c:formatCode>
                <c:ptCount val="6"/>
                <c:pt idx="0">
                  <c:v>61000000</c:v>
                </c:pt>
                <c:pt idx="1">
                  <c:v>1728000000</c:v>
                </c:pt>
                <c:pt idx="2">
                  <c:v>651000000</c:v>
                </c:pt>
                <c:pt idx="3">
                  <c:v>80000000</c:v>
                </c:pt>
                <c:pt idx="4">
                  <c:v>487000000</c:v>
                </c:pt>
                <c:pt idx="5">
                  <c:v>1487000000</c:v>
                </c:pt>
              </c:numCache>
            </c:numRef>
          </c:val>
          <c:extLst>
            <c:ext xmlns:c16="http://schemas.microsoft.com/office/drawing/2014/chart" uri="{C3380CC4-5D6E-409C-BE32-E72D297353CC}">
              <c16:uniqueId val="{00000000-CB4F-4868-BD49-7E5F5FEF1BDB}"/>
            </c:ext>
          </c:extLst>
        </c:ser>
        <c:dLbls>
          <c:showLegendKey val="0"/>
          <c:showVal val="0"/>
          <c:showCatName val="0"/>
          <c:showSerName val="0"/>
          <c:showPercent val="0"/>
          <c:showBubbleSize val="0"/>
        </c:dLbls>
        <c:gapWidth val="182"/>
        <c:axId val="803349247"/>
        <c:axId val="803349727"/>
      </c:barChart>
      <c:catAx>
        <c:axId val="80334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49727"/>
        <c:crosses val="autoZero"/>
        <c:auto val="1"/>
        <c:lblAlgn val="ctr"/>
        <c:lblOffset val="100"/>
        <c:noMultiLvlLbl val="0"/>
      </c:catAx>
      <c:valAx>
        <c:axId val="803349727"/>
        <c:scaling>
          <c:orientation val="minMax"/>
        </c:scaling>
        <c:delete val="1"/>
        <c:axPos val="b"/>
        <c:numFmt formatCode="General" sourceLinked="1"/>
        <c:majorTickMark val="none"/>
        <c:minorTickMark val="none"/>
        <c:tickLblPos val="nextTo"/>
        <c:crossAx val="80334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[MIlestone_1.xlsx]Pivot_Analysis!PivotTable3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MARKET INFLATION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00687285223365E-2"/>
          <c:y val="0.22602071907373555"/>
          <c:w val="0.92439862542955331"/>
          <c:h val="0.63310013579198399"/>
        </c:manualLayout>
      </c:layout>
      <c:lineChart>
        <c:grouping val="standard"/>
        <c:varyColors val="0"/>
        <c:ser>
          <c:idx val="0"/>
          <c:order val="0"/>
          <c:tx>
            <c:strRef>
              <c:f>Pivot_Analysis!$I$1</c:f>
              <c:strCache>
                <c:ptCount val="1"/>
                <c:pt idx="0">
                  <c:v>Total</c:v>
                </c:pt>
              </c:strCache>
            </c:strRef>
          </c:tx>
          <c:spPr>
            <a:ln w="28575" cap="rnd">
              <a:solidFill>
                <a:schemeClr val="accent1"/>
              </a:solidFill>
              <a:round/>
            </a:ln>
            <a:effectLst/>
          </c:spPr>
          <c:marker>
            <c:symbol val="none"/>
          </c:marker>
          <c:cat>
            <c:strRef>
              <c:f>Pivot_Analysis!$H$2:$H$14</c:f>
              <c:strCache>
                <c:ptCount val="12"/>
                <c:pt idx="0">
                  <c:v>2000</c:v>
                </c:pt>
                <c:pt idx="1">
                  <c:v>2001</c:v>
                </c:pt>
                <c:pt idx="2">
                  <c:v>2009</c:v>
                </c:pt>
                <c:pt idx="3">
                  <c:v>2013</c:v>
                </c:pt>
                <c:pt idx="4">
                  <c:v>2014</c:v>
                </c:pt>
                <c:pt idx="5">
                  <c:v>2015</c:v>
                </c:pt>
                <c:pt idx="6">
                  <c:v>2016</c:v>
                </c:pt>
                <c:pt idx="7">
                  <c:v>2017</c:v>
                </c:pt>
                <c:pt idx="8">
                  <c:v>2018</c:v>
                </c:pt>
                <c:pt idx="9">
                  <c:v>2019</c:v>
                </c:pt>
                <c:pt idx="10">
                  <c:v>2020</c:v>
                </c:pt>
                <c:pt idx="11">
                  <c:v>2021</c:v>
                </c:pt>
              </c:strCache>
            </c:strRef>
          </c:cat>
          <c:val>
            <c:numRef>
              <c:f>Pivot_Analysis!$I$2:$I$14</c:f>
              <c:numCache>
                <c:formatCode>General</c:formatCode>
                <c:ptCount val="12"/>
                <c:pt idx="0">
                  <c:v>62</c:v>
                </c:pt>
                <c:pt idx="1">
                  <c:v>76</c:v>
                </c:pt>
                <c:pt idx="2">
                  <c:v>77</c:v>
                </c:pt>
                <c:pt idx="3">
                  <c:v>75</c:v>
                </c:pt>
                <c:pt idx="4">
                  <c:v>77.666666666666671</c:v>
                </c:pt>
                <c:pt idx="5">
                  <c:v>67.333333333333329</c:v>
                </c:pt>
                <c:pt idx="6">
                  <c:v>97.5</c:v>
                </c:pt>
                <c:pt idx="7">
                  <c:v>107.8</c:v>
                </c:pt>
                <c:pt idx="8">
                  <c:v>89.090909090909093</c:v>
                </c:pt>
                <c:pt idx="9">
                  <c:v>81.571428571428569</c:v>
                </c:pt>
                <c:pt idx="10">
                  <c:v>69.400000000000006</c:v>
                </c:pt>
                <c:pt idx="11">
                  <c:v>87.333333333333329</c:v>
                </c:pt>
              </c:numCache>
            </c:numRef>
          </c:val>
          <c:smooth val="0"/>
          <c:extLst>
            <c:ext xmlns:c16="http://schemas.microsoft.com/office/drawing/2014/chart" uri="{C3380CC4-5D6E-409C-BE32-E72D297353CC}">
              <c16:uniqueId val="{00000000-F0D2-47DB-A088-EB50D913073C}"/>
            </c:ext>
          </c:extLst>
        </c:ser>
        <c:dLbls>
          <c:showLegendKey val="0"/>
          <c:showVal val="0"/>
          <c:showCatName val="0"/>
          <c:showSerName val="0"/>
          <c:showPercent val="0"/>
          <c:showBubbleSize val="0"/>
        </c:dLbls>
        <c:smooth val="0"/>
        <c:axId val="1580278175"/>
        <c:axId val="472344463"/>
      </c:lineChart>
      <c:catAx>
        <c:axId val="15802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44463"/>
        <c:crosses val="autoZero"/>
        <c:auto val="1"/>
        <c:lblAlgn val="ctr"/>
        <c:lblOffset val="100"/>
        <c:noMultiLvlLbl val="0"/>
      </c:catAx>
      <c:valAx>
        <c:axId val="472344463"/>
        <c:scaling>
          <c:orientation val="minMax"/>
        </c:scaling>
        <c:delete val="1"/>
        <c:axPos val="l"/>
        <c:numFmt formatCode="General" sourceLinked="1"/>
        <c:majorTickMark val="none"/>
        <c:minorTickMark val="none"/>
        <c:tickLblPos val="nextTo"/>
        <c:crossAx val="158027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[MIlestone_1.xlsx]Pivot_Analysis!PivotTable1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POSITONAL VALUE VS VOLUME</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Average of Fee(â‚¬ mln)</c:v>
                </c:pt>
              </c:strCache>
            </c:strRef>
          </c:tx>
          <c:spPr>
            <a:solidFill>
              <a:schemeClr val="accent1"/>
            </a:solidFill>
            <a:ln>
              <a:noFill/>
            </a:ln>
            <a:effectLst/>
          </c:spPr>
          <c:invertIfNegative val="0"/>
          <c:cat>
            <c:strRef>
              <c:f>Pivot_Analysis!$A$2:$A$7</c:f>
              <c:strCache>
                <c:ptCount val="5"/>
                <c:pt idx="0">
                  <c:v>Defender</c:v>
                </c:pt>
                <c:pt idx="1">
                  <c:v>Forward</c:v>
                </c:pt>
                <c:pt idx="2">
                  <c:v>Goalkeeper</c:v>
                </c:pt>
                <c:pt idx="3">
                  <c:v>Midfielder</c:v>
                </c:pt>
                <c:pt idx="4">
                  <c:v>Striker</c:v>
                </c:pt>
              </c:strCache>
            </c:strRef>
          </c:cat>
          <c:val>
            <c:numRef>
              <c:f>Pivot_Analysis!$B$2:$B$7</c:f>
              <c:numCache>
                <c:formatCode>General</c:formatCode>
                <c:ptCount val="5"/>
                <c:pt idx="0">
                  <c:v>73.125</c:v>
                </c:pt>
                <c:pt idx="1">
                  <c:v>106.57142857142857</c:v>
                </c:pt>
                <c:pt idx="2">
                  <c:v>71.5</c:v>
                </c:pt>
                <c:pt idx="3">
                  <c:v>77.599999999999994</c:v>
                </c:pt>
                <c:pt idx="4">
                  <c:v>72.2</c:v>
                </c:pt>
              </c:numCache>
            </c:numRef>
          </c:val>
          <c:extLst>
            <c:ext xmlns:c16="http://schemas.microsoft.com/office/drawing/2014/chart" uri="{C3380CC4-5D6E-409C-BE32-E72D297353CC}">
              <c16:uniqueId val="{00000000-52E4-4DCC-B3CD-30D9CB7E7324}"/>
            </c:ext>
          </c:extLst>
        </c:ser>
        <c:dLbls>
          <c:showLegendKey val="0"/>
          <c:showVal val="0"/>
          <c:showCatName val="0"/>
          <c:showSerName val="0"/>
          <c:showPercent val="0"/>
          <c:showBubbleSize val="0"/>
        </c:dLbls>
        <c:gapWidth val="219"/>
        <c:overlap val="-27"/>
        <c:axId val="717163439"/>
        <c:axId val="813472943"/>
      </c:barChart>
      <c:lineChart>
        <c:grouping val="standard"/>
        <c:varyColors val="0"/>
        <c:ser>
          <c:idx val="1"/>
          <c:order val="1"/>
          <c:tx>
            <c:strRef>
              <c:f>Pivot_Analysis!$C$1</c:f>
              <c:strCache>
                <c:ptCount val="1"/>
                <c:pt idx="0">
                  <c:v>Count of Player</c:v>
                </c:pt>
              </c:strCache>
            </c:strRef>
          </c:tx>
          <c:spPr>
            <a:ln w="28575" cap="rnd">
              <a:solidFill>
                <a:schemeClr val="accent2"/>
              </a:solidFill>
              <a:round/>
            </a:ln>
            <a:effectLst/>
          </c:spPr>
          <c:marker>
            <c:symbol val="none"/>
          </c:marker>
          <c:cat>
            <c:strRef>
              <c:f>Pivot_Analysis!$A$2:$A$7</c:f>
              <c:strCache>
                <c:ptCount val="5"/>
                <c:pt idx="0">
                  <c:v>Defender</c:v>
                </c:pt>
                <c:pt idx="1">
                  <c:v>Forward</c:v>
                </c:pt>
                <c:pt idx="2">
                  <c:v>Goalkeeper</c:v>
                </c:pt>
                <c:pt idx="3">
                  <c:v>Midfielder</c:v>
                </c:pt>
                <c:pt idx="4">
                  <c:v>Striker</c:v>
                </c:pt>
              </c:strCache>
            </c:strRef>
          </c:cat>
          <c:val>
            <c:numRef>
              <c:f>Pivot_Analysis!$C$2:$C$7</c:f>
              <c:numCache>
                <c:formatCode>General</c:formatCode>
                <c:ptCount val="5"/>
                <c:pt idx="0">
                  <c:v>8</c:v>
                </c:pt>
                <c:pt idx="1">
                  <c:v>14</c:v>
                </c:pt>
                <c:pt idx="2">
                  <c:v>2</c:v>
                </c:pt>
                <c:pt idx="3">
                  <c:v>20</c:v>
                </c:pt>
                <c:pt idx="4">
                  <c:v>10</c:v>
                </c:pt>
              </c:numCache>
            </c:numRef>
          </c:val>
          <c:smooth val="0"/>
          <c:extLst>
            <c:ext xmlns:c16="http://schemas.microsoft.com/office/drawing/2014/chart" uri="{C3380CC4-5D6E-409C-BE32-E72D297353CC}">
              <c16:uniqueId val="{00000001-52E4-4DCC-B3CD-30D9CB7E7324}"/>
            </c:ext>
          </c:extLst>
        </c:ser>
        <c:dLbls>
          <c:showLegendKey val="0"/>
          <c:showVal val="0"/>
          <c:showCatName val="0"/>
          <c:showSerName val="0"/>
          <c:showPercent val="0"/>
          <c:showBubbleSize val="0"/>
        </c:dLbls>
        <c:marker val="1"/>
        <c:smooth val="0"/>
        <c:axId val="717163439"/>
        <c:axId val="813472943"/>
      </c:lineChart>
      <c:catAx>
        <c:axId val="71716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472943"/>
        <c:crosses val="autoZero"/>
        <c:auto val="1"/>
        <c:lblAlgn val="ctr"/>
        <c:lblOffset val="100"/>
        <c:noMultiLvlLbl val="0"/>
      </c:catAx>
      <c:valAx>
        <c:axId val="81347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63439"/>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[MIlestone_1.xlsx]Pivot_Analysis!PivotTable2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BUYING COUNTRIES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Pivot_Analysis!$F$1</c:f>
              <c:strCache>
                <c:ptCount val="1"/>
                <c:pt idx="0">
                  <c:v>Total</c:v>
                </c:pt>
              </c:strCache>
            </c:strRef>
          </c:tx>
          <c:spPr>
            <a:solidFill>
              <a:schemeClr val="accent1"/>
            </a:solidFill>
            <a:ln>
              <a:noFill/>
            </a:ln>
            <a:effectLst/>
          </c:spPr>
          <c:invertIfNegative val="0"/>
          <c:cat>
            <c:strRef>
              <c:f>Pivot_Analysis!$E$2:$E$8</c:f>
              <c:strCache>
                <c:ptCount val="6"/>
                <c:pt idx="0">
                  <c:v>China</c:v>
                </c:pt>
                <c:pt idx="1">
                  <c:v>England</c:v>
                </c:pt>
                <c:pt idx="2">
                  <c:v>France</c:v>
                </c:pt>
                <c:pt idx="3">
                  <c:v>Germany</c:v>
                </c:pt>
                <c:pt idx="4">
                  <c:v>Italy</c:v>
                </c:pt>
                <c:pt idx="5">
                  <c:v>Spain</c:v>
                </c:pt>
              </c:strCache>
            </c:strRef>
          </c:cat>
          <c:val>
            <c:numRef>
              <c:f>Pivot_Analysis!$F$2:$F$8</c:f>
              <c:numCache>
                <c:formatCode>General</c:formatCode>
                <c:ptCount val="6"/>
                <c:pt idx="0">
                  <c:v>61000000</c:v>
                </c:pt>
                <c:pt idx="1">
                  <c:v>1728000000</c:v>
                </c:pt>
                <c:pt idx="2">
                  <c:v>651000000</c:v>
                </c:pt>
                <c:pt idx="3">
                  <c:v>80000000</c:v>
                </c:pt>
                <c:pt idx="4">
                  <c:v>487000000</c:v>
                </c:pt>
                <c:pt idx="5">
                  <c:v>1487000000</c:v>
                </c:pt>
              </c:numCache>
            </c:numRef>
          </c:val>
          <c:extLst>
            <c:ext xmlns:c16="http://schemas.microsoft.com/office/drawing/2014/chart" uri="{C3380CC4-5D6E-409C-BE32-E72D297353CC}">
              <c16:uniqueId val="{00000000-0114-47BC-A7EA-487121C944F7}"/>
            </c:ext>
          </c:extLst>
        </c:ser>
        <c:dLbls>
          <c:showLegendKey val="0"/>
          <c:showVal val="0"/>
          <c:showCatName val="0"/>
          <c:showSerName val="0"/>
          <c:showPercent val="0"/>
          <c:showBubbleSize val="0"/>
        </c:dLbls>
        <c:gapWidth val="182"/>
        <c:axId val="803349247"/>
        <c:axId val="803349727"/>
      </c:barChart>
      <c:catAx>
        <c:axId val="80334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49727"/>
        <c:crosses val="autoZero"/>
        <c:auto val="1"/>
        <c:lblAlgn val="ctr"/>
        <c:lblOffset val="100"/>
        <c:noMultiLvlLbl val="0"/>
      </c:catAx>
      <c:valAx>
        <c:axId val="803349727"/>
        <c:scaling>
          <c:orientation val="minMax"/>
        </c:scaling>
        <c:delete val="1"/>
        <c:axPos val="b"/>
        <c:numFmt formatCode="General" sourceLinked="1"/>
        <c:majorTickMark val="none"/>
        <c:minorTickMark val="none"/>
        <c:tickLblPos val="nextTo"/>
        <c:crossAx val="80334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[MIlestone_1.xlsx]Pivot_Analysis!PivotTable3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MARKET INFLATION</a:t>
            </a:r>
          </a:p>
        </c:rich>
      </c:tx>
      <c:layout>
        <c:manualLayout>
          <c:xMode val="edge"/>
          <c:yMode val="edge"/>
          <c:x val="0.26419053670796777"/>
          <c:y val="3.95493040204825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23369723712072E-2"/>
          <c:y val="0.22602041870750408"/>
          <c:w val="0.92439862542955331"/>
          <c:h val="0.63310013579198399"/>
        </c:manualLayout>
      </c:layout>
      <c:lineChart>
        <c:grouping val="standard"/>
        <c:varyColors val="0"/>
        <c:ser>
          <c:idx val="0"/>
          <c:order val="0"/>
          <c:tx>
            <c:strRef>
              <c:f>Pivot_Analysis!$I$1</c:f>
              <c:strCache>
                <c:ptCount val="1"/>
                <c:pt idx="0">
                  <c:v>Total</c:v>
                </c:pt>
              </c:strCache>
            </c:strRef>
          </c:tx>
          <c:spPr>
            <a:ln w="28575" cap="rnd">
              <a:solidFill>
                <a:schemeClr val="accent1"/>
              </a:solidFill>
              <a:round/>
            </a:ln>
            <a:effectLst/>
          </c:spPr>
          <c:marker>
            <c:symbol val="none"/>
          </c:marker>
          <c:cat>
            <c:strRef>
              <c:f>Pivot_Analysis!$H$2:$H$14</c:f>
              <c:strCache>
                <c:ptCount val="12"/>
                <c:pt idx="0">
                  <c:v>2000</c:v>
                </c:pt>
                <c:pt idx="1">
                  <c:v>2001</c:v>
                </c:pt>
                <c:pt idx="2">
                  <c:v>2009</c:v>
                </c:pt>
                <c:pt idx="3">
                  <c:v>2013</c:v>
                </c:pt>
                <c:pt idx="4">
                  <c:v>2014</c:v>
                </c:pt>
                <c:pt idx="5">
                  <c:v>2015</c:v>
                </c:pt>
                <c:pt idx="6">
                  <c:v>2016</c:v>
                </c:pt>
                <c:pt idx="7">
                  <c:v>2017</c:v>
                </c:pt>
                <c:pt idx="8">
                  <c:v>2018</c:v>
                </c:pt>
                <c:pt idx="9">
                  <c:v>2019</c:v>
                </c:pt>
                <c:pt idx="10">
                  <c:v>2020</c:v>
                </c:pt>
                <c:pt idx="11">
                  <c:v>2021</c:v>
                </c:pt>
              </c:strCache>
            </c:strRef>
          </c:cat>
          <c:val>
            <c:numRef>
              <c:f>Pivot_Analysis!$I$2:$I$14</c:f>
              <c:numCache>
                <c:formatCode>General</c:formatCode>
                <c:ptCount val="12"/>
                <c:pt idx="0">
                  <c:v>62</c:v>
                </c:pt>
                <c:pt idx="1">
                  <c:v>76</c:v>
                </c:pt>
                <c:pt idx="2">
                  <c:v>77</c:v>
                </c:pt>
                <c:pt idx="3">
                  <c:v>75</c:v>
                </c:pt>
                <c:pt idx="4">
                  <c:v>77.666666666666671</c:v>
                </c:pt>
                <c:pt idx="5">
                  <c:v>67.333333333333329</c:v>
                </c:pt>
                <c:pt idx="6">
                  <c:v>97.5</c:v>
                </c:pt>
                <c:pt idx="7">
                  <c:v>107.8</c:v>
                </c:pt>
                <c:pt idx="8">
                  <c:v>89.090909090909093</c:v>
                </c:pt>
                <c:pt idx="9">
                  <c:v>81.571428571428569</c:v>
                </c:pt>
                <c:pt idx="10">
                  <c:v>69.400000000000006</c:v>
                </c:pt>
                <c:pt idx="11">
                  <c:v>87.333333333333329</c:v>
                </c:pt>
              </c:numCache>
            </c:numRef>
          </c:val>
          <c:smooth val="0"/>
          <c:extLst>
            <c:ext xmlns:c16="http://schemas.microsoft.com/office/drawing/2014/chart" uri="{C3380CC4-5D6E-409C-BE32-E72D297353CC}">
              <c16:uniqueId val="{00000000-5F90-4097-B524-1BEDB7D02D0F}"/>
            </c:ext>
          </c:extLst>
        </c:ser>
        <c:dLbls>
          <c:showLegendKey val="0"/>
          <c:showVal val="0"/>
          <c:showCatName val="0"/>
          <c:showSerName val="0"/>
          <c:showPercent val="0"/>
          <c:showBubbleSize val="0"/>
        </c:dLbls>
        <c:smooth val="0"/>
        <c:axId val="1580278175"/>
        <c:axId val="472344463"/>
      </c:lineChart>
      <c:catAx>
        <c:axId val="15802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44463"/>
        <c:crosses val="autoZero"/>
        <c:auto val="1"/>
        <c:lblAlgn val="ctr"/>
        <c:lblOffset val="100"/>
        <c:noMultiLvlLbl val="0"/>
      </c:catAx>
      <c:valAx>
        <c:axId val="472344463"/>
        <c:scaling>
          <c:orientation val="minMax"/>
        </c:scaling>
        <c:delete val="1"/>
        <c:axPos val="l"/>
        <c:numFmt formatCode="General" sourceLinked="1"/>
        <c:majorTickMark val="none"/>
        <c:minorTickMark val="none"/>
        <c:tickLblPos val="nextTo"/>
        <c:crossAx val="158027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3810</xdr:rowOff>
    </xdr:from>
    <xdr:to>
      <xdr:col>3</xdr:col>
      <xdr:colOff>106680</xdr:colOff>
      <xdr:row>17</xdr:row>
      <xdr:rowOff>114300</xdr:rowOff>
    </xdr:to>
    <xdr:graphicFrame macro="">
      <xdr:nvGraphicFramePr>
        <xdr:cNvPr id="2" name="Chart 1">
          <a:extLst>
            <a:ext uri="{FF2B5EF4-FFF2-40B4-BE49-F238E27FC236}">
              <a16:creationId xmlns:a16="http://schemas.microsoft.com/office/drawing/2014/main" id="{98DCC195-80A6-2CB6-932C-677854DCD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7</xdr:row>
      <xdr:rowOff>163830</xdr:rowOff>
    </xdr:from>
    <xdr:to>
      <xdr:col>6</xdr:col>
      <xdr:colOff>495300</xdr:colOff>
      <xdr:row>17</xdr:row>
      <xdr:rowOff>114300</xdr:rowOff>
    </xdr:to>
    <xdr:graphicFrame macro="">
      <xdr:nvGraphicFramePr>
        <xdr:cNvPr id="3" name="Chart 2">
          <a:extLst>
            <a:ext uri="{FF2B5EF4-FFF2-40B4-BE49-F238E27FC236}">
              <a16:creationId xmlns:a16="http://schemas.microsoft.com/office/drawing/2014/main" id="{E599AF7E-9F91-A1AA-8F95-024CF9025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548640</xdr:colOff>
      <xdr:row>14</xdr:row>
      <xdr:rowOff>3810</xdr:rowOff>
    </xdr:from>
    <xdr:to>
      <xdr:col>10</xdr:col>
      <xdr:colOff>167640</xdr:colOff>
      <xdr:row>23</xdr:row>
      <xdr:rowOff>68580</xdr:rowOff>
    </xdr:to>
    <xdr:graphicFrame macro="">
      <xdr:nvGraphicFramePr>
        <xdr:cNvPr id="4" name="Chart 3">
          <a:extLst>
            <a:ext uri="{FF2B5EF4-FFF2-40B4-BE49-F238E27FC236}">
              <a16:creationId xmlns:a16="http://schemas.microsoft.com/office/drawing/2014/main" id="{983C74D7-64D8-7B1B-E78C-EF83958D4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214600</xdr:colOff>
      <xdr:row>0</xdr:row>
      <xdr:rowOff>114300</xdr:rowOff>
    </xdr:from>
    <xdr:to>
      <xdr:col>11</xdr:col>
      <xdr:colOff>252700</xdr:colOff>
      <xdr:row>8</xdr:row>
      <xdr:rowOff>137160</xdr:rowOff>
    </xdr:to>
    <xdr:sp macro="" textlink="">
      <xdr:nvSpPr>
        <xdr:cNvPr id="5" name="Rectangle 4">
          <a:extLst>
            <a:ext uri="{FF2B5EF4-FFF2-40B4-BE49-F238E27FC236}">
              <a16:creationId xmlns:a16="http://schemas.microsoft.com/office/drawing/2014/main" id="{EAEA5983-D77E-AE31-CB44-2A59CFBAEB38}"/>
            </a:ext>
          </a:extLst>
        </xdr:cNvPr>
        <xdr:cNvSpPr/>
      </xdr:nvSpPr>
      <xdr:spPr>
        <a:xfrm>
          <a:off x="825972" y="114300"/>
          <a:ext cx="6151821" cy="1511418"/>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205740</xdr:colOff>
      <xdr:row>8</xdr:row>
      <xdr:rowOff>159158</xdr:rowOff>
    </xdr:from>
    <xdr:to>
      <xdr:col>7</xdr:col>
      <xdr:colOff>312420</xdr:colOff>
      <xdr:row>18</xdr:row>
      <xdr:rowOff>166778</xdr:rowOff>
    </xdr:to>
    <xdr:graphicFrame macro="">
      <xdr:nvGraphicFramePr>
        <xdr:cNvPr id="23" name="Chart 22">
          <a:extLst>
            <a:ext uri="{FF2B5EF4-FFF2-40B4-BE49-F238E27FC236}">
              <a16:creationId xmlns:a16="http://schemas.microsoft.com/office/drawing/2014/main" id="{F8AAC104-D891-4E4D-A2A5-F847A5265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220980</xdr:colOff>
      <xdr:row>19</xdr:row>
      <xdr:rowOff>7620</xdr:rowOff>
    </xdr:from>
    <xdr:to>
      <xdr:col>6</xdr:col>
      <xdr:colOff>144780</xdr:colOff>
      <xdr:row>29</xdr:row>
      <xdr:rowOff>129540</xdr:rowOff>
    </xdr:to>
    <xdr:graphicFrame macro="">
      <xdr:nvGraphicFramePr>
        <xdr:cNvPr id="25" name="Chart 24">
          <a:extLst>
            <a:ext uri="{FF2B5EF4-FFF2-40B4-BE49-F238E27FC236}">
              <a16:creationId xmlns:a16="http://schemas.microsoft.com/office/drawing/2014/main" id="{7EE8D0F6-EFDD-40AD-AD26-1E1859557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182880</xdr:colOff>
      <xdr:row>19</xdr:row>
      <xdr:rowOff>7620</xdr:rowOff>
    </xdr:from>
    <xdr:to>
      <xdr:col>11</xdr:col>
      <xdr:colOff>297180</xdr:colOff>
      <xdr:row>29</xdr:row>
      <xdr:rowOff>137160</xdr:rowOff>
    </xdr:to>
    <xdr:graphicFrame macro="">
      <xdr:nvGraphicFramePr>
        <xdr:cNvPr id="27" name="Chart 26">
          <a:extLst>
            <a:ext uri="{FF2B5EF4-FFF2-40B4-BE49-F238E27FC236}">
              <a16:creationId xmlns:a16="http://schemas.microsoft.com/office/drawing/2014/main" id="{E0F26FF3-3B38-4AFF-A45B-2EFE4EF2A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232253</xdr:colOff>
      <xdr:row>0</xdr:row>
      <xdr:rowOff>114300</xdr:rowOff>
    </xdr:from>
    <xdr:to>
      <xdr:col>11</xdr:col>
      <xdr:colOff>250520</xdr:colOff>
      <xdr:row>8</xdr:row>
      <xdr:rowOff>91507</xdr:rowOff>
    </xdr:to>
    <xdr:grpSp>
      <xdr:nvGrpSpPr>
        <xdr:cNvPr id="4" name="Group 3">
          <a:extLst>
            <a:ext uri="{FF2B5EF4-FFF2-40B4-BE49-F238E27FC236}">
              <a16:creationId xmlns:a16="http://schemas.microsoft.com/office/drawing/2014/main" id="{C464D1E0-AD69-B80B-1A05-F672F0EFA97F}"/>
            </a:ext>
          </a:extLst>
        </xdr:cNvPr>
        <xdr:cNvGrpSpPr/>
      </xdr:nvGrpSpPr>
      <xdr:grpSpPr>
        <a:xfrm>
          <a:off x="855272" y="114300"/>
          <a:ext cx="6248456" cy="1462867"/>
          <a:chOff x="800099" y="114300"/>
          <a:chExt cx="6111452" cy="1440247"/>
        </a:xfrm>
      </xdr:grpSpPr>
      <xdr:grpSp>
        <xdr:nvGrpSpPr>
          <xdr:cNvPr id="29" name="Group 28">
            <a:extLst>
              <a:ext uri="{FF2B5EF4-FFF2-40B4-BE49-F238E27FC236}">
                <a16:creationId xmlns:a16="http://schemas.microsoft.com/office/drawing/2014/main" id="{9C614FEF-3AAA-CC31-53ED-27EE206CCB96}"/>
              </a:ext>
            </a:extLst>
          </xdr:cNvPr>
          <xdr:cNvGrpSpPr/>
        </xdr:nvGrpSpPr>
        <xdr:grpSpPr>
          <a:xfrm>
            <a:off x="1653540" y="693354"/>
            <a:ext cx="4602480" cy="861193"/>
            <a:chOff x="1043940" y="579120"/>
            <a:chExt cx="4632960" cy="868747"/>
          </a:xfrm>
        </xdr:grpSpPr>
        <xdr:grpSp>
          <xdr:nvGrpSpPr>
            <xdr:cNvPr id="15" name="Group 14">
              <a:extLst>
                <a:ext uri="{FF2B5EF4-FFF2-40B4-BE49-F238E27FC236}">
                  <a16:creationId xmlns:a16="http://schemas.microsoft.com/office/drawing/2014/main" id="{F638FC4A-629B-7B1A-81C7-9AB97BA3AC3B}"/>
                </a:ext>
              </a:extLst>
            </xdr:cNvPr>
            <xdr:cNvGrpSpPr/>
          </xdr:nvGrpSpPr>
          <xdr:grpSpPr>
            <a:xfrm>
              <a:off x="1043940" y="579120"/>
              <a:ext cx="998220" cy="868680"/>
              <a:chOff x="2110740" y="304800"/>
              <a:chExt cx="998220" cy="868680"/>
            </a:xfrm>
            <a:solidFill>
              <a:schemeClr val="accent4">
                <a:lumMod val="20000"/>
                <a:lumOff val="80000"/>
              </a:schemeClr>
            </a:solidFill>
          </xdr:grpSpPr>
          <xdr:sp macro="" textlink="">
            <xdr:nvSpPr>
              <xdr:cNvPr id="7" name="Rectangle: Rounded Corners 6">
                <a:extLst>
                  <a:ext uri="{FF2B5EF4-FFF2-40B4-BE49-F238E27FC236}">
                    <a16:creationId xmlns:a16="http://schemas.microsoft.com/office/drawing/2014/main" id="{C49EC0B6-B891-564C-CD40-F8C7B01B07AD}"/>
                  </a:ext>
                </a:extLst>
              </xdr:cNvPr>
              <xdr:cNvSpPr/>
            </xdr:nvSpPr>
            <xdr:spPr>
              <a:xfrm>
                <a:off x="2110740" y="304800"/>
                <a:ext cx="998220" cy="86868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t>Players</a:t>
                </a:r>
              </a:p>
            </xdr:txBody>
          </xdr:sp>
          <xdr:sp macro="" textlink="Pivot_Analysis!A23">
            <xdr:nvSpPr>
              <xdr:cNvPr id="6" name="TextBox 5">
                <a:extLst>
                  <a:ext uri="{FF2B5EF4-FFF2-40B4-BE49-F238E27FC236}">
                    <a16:creationId xmlns:a16="http://schemas.microsoft.com/office/drawing/2014/main" id="{01392FC5-3652-12A6-4C0C-4FC630C50AB2}"/>
                  </a:ext>
                </a:extLst>
              </xdr:cNvPr>
              <xdr:cNvSpPr txBox="1"/>
            </xdr:nvSpPr>
            <xdr:spPr>
              <a:xfrm>
                <a:off x="2354530" y="667378"/>
                <a:ext cx="518160" cy="30480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1A7CD4BA-52E4-41DD-919B-BF583DF9FC14}" type="TxLink">
                  <a:rPr lang="en-US" sz="2000" b="1" i="0" u="none" strike="noStrike">
                    <a:solidFill>
                      <a:srgbClr val="000000"/>
                    </a:solidFill>
                    <a:latin typeface="Aptos Narrow"/>
                  </a:rPr>
                  <a:pPr algn="ctr"/>
                  <a:t>54</a:t>
                </a:fld>
                <a:endParaRPr lang="en-IN" sz="2000" b="1"/>
              </a:p>
            </xdr:txBody>
          </xdr:sp>
        </xdr:grpSp>
        <xdr:grpSp>
          <xdr:nvGrpSpPr>
            <xdr:cNvPr id="16" name="Group 15">
              <a:extLst>
                <a:ext uri="{FF2B5EF4-FFF2-40B4-BE49-F238E27FC236}">
                  <a16:creationId xmlns:a16="http://schemas.microsoft.com/office/drawing/2014/main" id="{2351D960-F6F0-F682-80D4-537AA7B6C0A6}"/>
                </a:ext>
              </a:extLst>
            </xdr:cNvPr>
            <xdr:cNvGrpSpPr/>
          </xdr:nvGrpSpPr>
          <xdr:grpSpPr>
            <a:xfrm>
              <a:off x="2209901" y="579187"/>
              <a:ext cx="1645920" cy="868680"/>
              <a:chOff x="3230981" y="312487"/>
              <a:chExt cx="1645920" cy="868680"/>
            </a:xfrm>
            <a:solidFill>
              <a:schemeClr val="accent4">
                <a:lumMod val="20000"/>
                <a:lumOff val="80000"/>
              </a:schemeClr>
            </a:solidFill>
          </xdr:grpSpPr>
          <xdr:sp macro="" textlink="">
            <xdr:nvSpPr>
              <xdr:cNvPr id="10" name="Rectangle: Rounded Corners 9">
                <a:extLst>
                  <a:ext uri="{FF2B5EF4-FFF2-40B4-BE49-F238E27FC236}">
                    <a16:creationId xmlns:a16="http://schemas.microsoft.com/office/drawing/2014/main" id="{8EE063C6-6C57-A4A6-9533-BCB87B256547}"/>
                  </a:ext>
                </a:extLst>
              </xdr:cNvPr>
              <xdr:cNvSpPr/>
            </xdr:nvSpPr>
            <xdr:spPr>
              <a:xfrm>
                <a:off x="3230981" y="312487"/>
                <a:ext cx="1645920" cy="86868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400" b="1" baseline="0"/>
                  <a:t>Total Fee</a:t>
                </a:r>
                <a:endParaRPr lang="en-US" sz="1400" b="1"/>
              </a:p>
            </xdr:txBody>
          </xdr:sp>
          <xdr:sp macro="" textlink="Pivot_Analysis!B23">
            <xdr:nvSpPr>
              <xdr:cNvPr id="11" name="TextBox 10">
                <a:extLst>
                  <a:ext uri="{FF2B5EF4-FFF2-40B4-BE49-F238E27FC236}">
                    <a16:creationId xmlns:a16="http://schemas.microsoft.com/office/drawing/2014/main" id="{4AC4E3FB-B675-8CF3-50B7-2EEFA74B3772}"/>
                  </a:ext>
                </a:extLst>
              </xdr:cNvPr>
              <xdr:cNvSpPr txBox="1"/>
            </xdr:nvSpPr>
            <xdr:spPr>
              <a:xfrm>
                <a:off x="3569666" y="615580"/>
                <a:ext cx="888447" cy="31242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3A5FEF62-F6DF-40A0-ABAE-0068746D0325}" type="TxLink">
                  <a:rPr lang="en-US" sz="2000" b="1" i="0" u="none" strike="noStrike">
                    <a:solidFill>
                      <a:srgbClr val="000000"/>
                    </a:solidFill>
                    <a:latin typeface="Aptos Narrow"/>
                  </a:rPr>
                  <a:pPr/>
                  <a:t>4494M</a:t>
                </a:fld>
                <a:endParaRPr lang="en-IN" sz="2000" b="1"/>
              </a:p>
            </xdr:txBody>
          </xdr:sp>
        </xdr:grpSp>
        <xdr:grpSp>
          <xdr:nvGrpSpPr>
            <xdr:cNvPr id="19" name="Group 18">
              <a:extLst>
                <a:ext uri="{FF2B5EF4-FFF2-40B4-BE49-F238E27FC236}">
                  <a16:creationId xmlns:a16="http://schemas.microsoft.com/office/drawing/2014/main" id="{0E65BA2A-53DD-7B51-51BD-CBBCC7E3CC5D}"/>
                </a:ext>
              </a:extLst>
            </xdr:cNvPr>
            <xdr:cNvGrpSpPr/>
          </xdr:nvGrpSpPr>
          <xdr:grpSpPr>
            <a:xfrm>
              <a:off x="4030980" y="579120"/>
              <a:ext cx="1645920" cy="868680"/>
              <a:chOff x="4899660" y="304800"/>
              <a:chExt cx="1645920" cy="868680"/>
            </a:xfrm>
          </xdr:grpSpPr>
          <xdr:sp macro="" textlink="">
            <xdr:nvSpPr>
              <xdr:cNvPr id="12" name="Rectangle: Rounded Corners 11">
                <a:extLst>
                  <a:ext uri="{FF2B5EF4-FFF2-40B4-BE49-F238E27FC236}">
                    <a16:creationId xmlns:a16="http://schemas.microsoft.com/office/drawing/2014/main" id="{A6E4D37B-2EC3-D9AC-998F-0AFEBD27310D}"/>
                  </a:ext>
                </a:extLst>
              </xdr:cNvPr>
              <xdr:cNvSpPr/>
            </xdr:nvSpPr>
            <xdr:spPr>
              <a:xfrm>
                <a:off x="4899660" y="304800"/>
                <a:ext cx="1645920" cy="86868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400" b="1"/>
                  <a:t>Avg</a:t>
                </a:r>
                <a:r>
                  <a:rPr lang="en-US" sz="1400" b="1" baseline="0"/>
                  <a:t> Fee</a:t>
                </a:r>
              </a:p>
            </xdr:txBody>
          </xdr:sp>
          <xdr:sp macro="" textlink="Pivot_Analysis!C23">
            <xdr:nvSpPr>
              <xdr:cNvPr id="18" name="TextBox 17">
                <a:extLst>
                  <a:ext uri="{FF2B5EF4-FFF2-40B4-BE49-F238E27FC236}">
                    <a16:creationId xmlns:a16="http://schemas.microsoft.com/office/drawing/2014/main" id="{DAFBA4F6-BBD2-2A3B-1CD9-89281388BBBF}"/>
                  </a:ext>
                </a:extLst>
              </xdr:cNvPr>
              <xdr:cNvSpPr txBox="1"/>
            </xdr:nvSpPr>
            <xdr:spPr>
              <a:xfrm>
                <a:off x="5394039" y="607176"/>
                <a:ext cx="636295" cy="435502"/>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B6087985-8F7F-491B-9408-A04CD758D07E}" type="TxLink">
                  <a:rPr lang="en-US" sz="2000" b="1" i="0" u="none" strike="noStrike">
                    <a:solidFill>
                      <a:srgbClr val="000000"/>
                    </a:solidFill>
                    <a:latin typeface="Aptos Narrow"/>
                  </a:rPr>
                  <a:pPr/>
                  <a:t>83M</a:t>
                </a:fld>
                <a:endParaRPr lang="en-IN" sz="2000" b="1"/>
              </a:p>
            </xdr:txBody>
          </xdr:sp>
        </xdr:grpSp>
      </xdr:grpSp>
      <xdr:sp macro="" textlink="">
        <xdr:nvSpPr>
          <xdr:cNvPr id="30" name="TextBox 29">
            <a:extLst>
              <a:ext uri="{FF2B5EF4-FFF2-40B4-BE49-F238E27FC236}">
                <a16:creationId xmlns:a16="http://schemas.microsoft.com/office/drawing/2014/main" id="{BF382448-C0B4-123F-B54A-F901C2A3774A}"/>
              </a:ext>
            </a:extLst>
          </xdr:cNvPr>
          <xdr:cNvSpPr txBox="1"/>
        </xdr:nvSpPr>
        <xdr:spPr>
          <a:xfrm>
            <a:off x="800099" y="114300"/>
            <a:ext cx="6111452" cy="5181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GLOBAL</a:t>
            </a:r>
            <a:r>
              <a:rPr lang="en-IN" sz="2800" b="1" baseline="0"/>
              <a:t> TRANSFER MARKET ANALYSIS </a:t>
            </a:r>
            <a:endParaRPr lang="en-IN" sz="2800" b="1"/>
          </a:p>
        </xdr:txBody>
      </xdr:sp>
    </xdr:grpSp>
    <xdr:clientData/>
  </xdr:twoCellAnchor>
  <xdr:twoCellAnchor editAs="oneCell">
    <xdr:from>
      <xdr:col>7</xdr:col>
      <xdr:colOff>339611</xdr:colOff>
      <xdr:row>8</xdr:row>
      <xdr:rowOff>167641</xdr:rowOff>
    </xdr:from>
    <xdr:to>
      <xdr:col>9</xdr:col>
      <xdr:colOff>217691</xdr:colOff>
      <xdr:row>18</xdr:row>
      <xdr:rowOff>144780</xdr:rowOff>
    </xdr:to>
    <mc:AlternateContent xmlns:mc="http://schemas.openxmlformats.org/markup-compatibility/2006" xmlns:a14="http://schemas.microsoft.com/office/drawing/2010/main">
      <mc:Choice Requires="a14">
        <xdr:graphicFrame macro="">
          <xdr:nvGraphicFramePr>
            <xdr:cNvPr id="32" name="Position">
              <a:extLst>
                <a:ext uri="{FF2B5EF4-FFF2-40B4-BE49-F238E27FC236}">
                  <a16:creationId xmlns:a16="http://schemas.microsoft.com/office/drawing/2014/main" id="{41D55A80-2B9C-A6FE-459A-7F601739D980}"/>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4616875" y="1605377"/>
              <a:ext cx="1100156" cy="1774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248979</xdr:colOff>
      <xdr:row>8</xdr:row>
      <xdr:rowOff>175261</xdr:rowOff>
    </xdr:from>
    <xdr:to>
      <xdr:col>11</xdr:col>
      <xdr:colOff>265814</xdr:colOff>
      <xdr:row>18</xdr:row>
      <xdr:rowOff>137160</xdr:rowOff>
    </xdr:to>
    <mc:AlternateContent xmlns:mc="http://schemas.openxmlformats.org/markup-compatibility/2006" xmlns:a14="http://schemas.microsoft.com/office/drawing/2010/main">
      <mc:Choice Requires="a14">
        <xdr:graphicFrame macro="">
          <xdr:nvGraphicFramePr>
            <xdr:cNvPr id="33" name="Age_Group">
              <a:extLst>
                <a:ext uri="{FF2B5EF4-FFF2-40B4-BE49-F238E27FC236}">
                  <a16:creationId xmlns:a16="http://schemas.microsoft.com/office/drawing/2014/main" id="{E8A3F3A8-CF10-7847-D478-29F6C8C3EF6D}"/>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748319" y="1612997"/>
              <a:ext cx="1238910" cy="1759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0.547374884256" createdVersion="8" refreshedVersion="8" minRefreshableVersion="3" recordCount="54" xr:uid="{94649810-C44C-484F-BF50-9693C1A693A5}">
  <cacheSource type="worksheet">
    <worksheetSource name="Tranfer_Data"/>
  </cacheSource>
  <cacheFields count="15">
    <cacheField name="Rank" numFmtId="0">
      <sharedItems containsSemiMixedTypes="0" containsString="0" containsNumber="1" containsInteger="1" minValue="1" maxValue="54"/>
    </cacheField>
    <cacheField name="Origin" numFmtId="0">
      <sharedItems/>
    </cacheField>
    <cacheField name="Player" numFmtId="0">
      <sharedItems count="51">
        <s v="Neymar"/>
        <s v="Kylian MbappÃ©"/>
        <s v="Philippe Coutinho"/>
        <s v="JoÃ£o FÃ©lix"/>
        <s v="Antoine Griezmann"/>
        <s v="Jack Grealish"/>
        <s v="Paul Pogba"/>
        <s v="Ousmane DembÃ©lÃ©"/>
        <s v="Gareth Bale"/>
        <s v="Cristiano Ronaldo"/>
        <s v="Eden Hazard"/>
        <s v="Gonzalo HiguaÃ­n"/>
        <s v="Harry Maguire"/>
        <s v="Romelu Lukaku"/>
        <s v="Jadon Sancho"/>
        <s v="Virgil van Dijk"/>
        <s v="Luis SuÃ¡rez"/>
        <s v="Kepa Arrizabalaga"/>
        <s v="Nicolas PÃ©pÃ©"/>
        <s v="Lucas Hernandez"/>
        <s v="Kai Havertz"/>
        <s v="Zinedine Zidane"/>
        <s v="Ãngel Di MarÃ­a"/>
        <s v="Matthijs de Ligt"/>
        <s v="Frenkie de Jong"/>
        <s v="James RodrÃ­guez"/>
        <s v="Kevin De Bruyne"/>
        <s v="Arthur"/>
        <s v="Rodri"/>
        <s v="Victor Osimhen"/>
        <s v="Thomas Lemar"/>
        <s v="SwedenÂ Zlatan IbrahimoviÄ‡"/>
        <s v="RÃºben Dias"/>
        <s v="Riyad Mahrez"/>
        <s v="KakÃ¡"/>
        <s v="Ãlvaro Morata"/>
        <s v="Aymeric Laporte"/>
        <s v="JoÃ£o Cancelo"/>
        <s v="Edinson Cavani"/>
        <s v="Christian Pulisic"/>
        <s v="Pierre-Emerick Aubameyang"/>
        <s v="Raheem Sterling"/>
        <s v="Alisson"/>
        <s v="LuÃ­s Figo"/>
        <s v="Oscar"/>
        <s v="Luka JoviÄ‡"/>
        <s v="Achraf Hakimi"/>
        <s v="Naby KeÃ¯ta"/>
        <s v="Tanguy Ndombele"/>
        <s v="Radamel Falcao"/>
        <s v="Miralem PjaniÄ‡"/>
      </sharedItems>
    </cacheField>
    <cacheField name="From(Country)" numFmtId="0">
      <sharedItems/>
    </cacheField>
    <cacheField name="From(Club)" numFmtId="0">
      <sharedItems/>
    </cacheField>
    <cacheField name="To(Country)" numFmtId="0">
      <sharedItems count="6">
        <s v="France"/>
        <s v="Spain"/>
        <s v="England"/>
        <s v="Italy"/>
        <s v="Germany"/>
        <s v="China"/>
      </sharedItems>
    </cacheField>
    <cacheField name="To(Club)" numFmtId="0">
      <sharedItems/>
    </cacheField>
    <cacheField name="Position" numFmtId="0">
      <sharedItems count="5">
        <s v="Forward"/>
        <s v="Midfielder"/>
        <s v="Striker"/>
        <s v="Defender"/>
        <s v="Goalkeeper"/>
      </sharedItems>
    </cacheField>
    <cacheField name="Fee(â‚¬ mln)" numFmtId="164">
      <sharedItems containsSemiMixedTypes="0" containsString="0" containsNumber="1" containsInteger="1" minValue="60" maxValue="222"/>
    </cacheField>
    <cacheField name="Fee(Â£ mln)" numFmtId="0">
      <sharedItems containsSemiMixedTypes="0" containsString="0" containsNumber="1" minValue="37" maxValue="198"/>
    </cacheField>
    <cacheField name="Year" numFmtId="0">
      <sharedItems containsSemiMixedTypes="0" containsString="0" containsNumber="1" containsInteger="1" minValue="2000" maxValue="2021" count="12">
        <n v="2017"/>
        <n v="2018"/>
        <n v="2019"/>
        <n v="2021"/>
        <n v="2016"/>
        <n v="2013"/>
        <n v="2009"/>
        <n v="2014"/>
        <n v="2020"/>
        <n v="2001"/>
        <n v="2015"/>
        <n v="2000"/>
      </sharedItems>
    </cacheField>
    <cacheField name="Born" numFmtId="0">
      <sharedItems containsSemiMixedTypes="0" containsString="0" containsNumber="1" containsInteger="1" minValue="1972" maxValue="2000"/>
    </cacheField>
    <cacheField name="Transfer_age" numFmtId="0">
      <sharedItems containsSemiMixedTypes="0" containsString="0" containsNumber="1" containsInteger="1" minValue="20" maxValue="33"/>
    </cacheField>
    <cacheField name="Fee(Raw Euros)" numFmtId="165">
      <sharedItems containsSemiMixedTypes="0" containsString="0" containsNumber="1" containsInteger="1" minValue="60000000" maxValue="222000000"/>
    </cacheField>
    <cacheField name="Age_Group" numFmtId="0">
      <sharedItems count="4">
        <s v="Age Group Label"/>
        <s v="22-27 Peak"/>
        <s v="U-22 Prospect"/>
        <s v="28+ Veteran"/>
      </sharedItems>
    </cacheField>
  </cacheFields>
  <extLst>
    <ext xmlns:x14="http://schemas.microsoft.com/office/spreadsheetml/2009/9/main" uri="{725AE2AE-9491-48be-B2B4-4EB974FC3084}">
      <x14:pivotCacheDefinition pivotCacheId="1350285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n v="1"/>
    <s v="Brazil"/>
    <x v="0"/>
    <s v="Spain"/>
    <s v="Barcelona"/>
    <x v="0"/>
    <s v="Paris Saint-Germain"/>
    <x v="0"/>
    <n v="222"/>
    <n v="198"/>
    <x v="0"/>
    <n v="1992"/>
    <n v="25"/>
    <n v="222000000"/>
    <x v="0"/>
  </r>
  <r>
    <n v="2"/>
    <s v="France"/>
    <x v="1"/>
    <s v="France"/>
    <s v="Monaco"/>
    <x v="0"/>
    <s v="Paris Saint-Germain"/>
    <x v="0"/>
    <n v="180"/>
    <n v="163"/>
    <x v="1"/>
    <n v="1998"/>
    <n v="20"/>
    <n v="180000000"/>
    <x v="1"/>
  </r>
  <r>
    <n v="3"/>
    <s v="Brazil"/>
    <x v="2"/>
    <s v="England"/>
    <s v="Liverpool"/>
    <x v="1"/>
    <s v="Barcelona"/>
    <x v="1"/>
    <n v="145"/>
    <n v="105"/>
    <x v="1"/>
    <n v="1992"/>
    <n v="26"/>
    <n v="145000000"/>
    <x v="2"/>
  </r>
  <r>
    <n v="4"/>
    <s v="Portugal"/>
    <x v="3"/>
    <s v="Portugal"/>
    <s v="Benfica"/>
    <x v="1"/>
    <s v="AtlÃ©tico Madrid"/>
    <x v="0"/>
    <n v="126"/>
    <n v="104.1"/>
    <x v="2"/>
    <n v="1999"/>
    <n v="20"/>
    <n v="126000000"/>
    <x v="1"/>
  </r>
  <r>
    <n v="5"/>
    <s v="France"/>
    <x v="4"/>
    <s v="Spain"/>
    <s v="AtlÃ©tico Madrid"/>
    <x v="1"/>
    <s v="Barcelona"/>
    <x v="0"/>
    <n v="120"/>
    <n v="107"/>
    <x v="2"/>
    <n v="1991"/>
    <n v="28"/>
    <n v="120000000"/>
    <x v="2"/>
  </r>
  <r>
    <n v="6"/>
    <s v="England"/>
    <x v="5"/>
    <s v="England"/>
    <s v="Aston Villa"/>
    <x v="2"/>
    <s v="Manchester City"/>
    <x v="1"/>
    <n v="117"/>
    <n v="100"/>
    <x v="3"/>
    <n v="1995"/>
    <n v="26"/>
    <n v="117000000"/>
    <x v="3"/>
  </r>
  <r>
    <n v="7"/>
    <s v="France"/>
    <x v="6"/>
    <s v="Italy"/>
    <s v="Juventus"/>
    <x v="2"/>
    <s v="Manchester United"/>
    <x v="1"/>
    <n v="105"/>
    <n v="89"/>
    <x v="4"/>
    <n v="1993"/>
    <n v="23"/>
    <n v="105000000"/>
    <x v="1"/>
  </r>
  <r>
    <n v="7"/>
    <s v="France"/>
    <x v="7"/>
    <s v="Germany"/>
    <s v="Borussia Dortmund"/>
    <x v="1"/>
    <s v="Barcelona"/>
    <x v="0"/>
    <n v="105"/>
    <n v="97"/>
    <x v="0"/>
    <n v="1997"/>
    <n v="20"/>
    <n v="105000000"/>
    <x v="1"/>
  </r>
  <r>
    <n v="9"/>
    <s v="Wakes"/>
    <x v="8"/>
    <s v="England"/>
    <s v="Tottenham Hotspur"/>
    <x v="1"/>
    <s v="Real Madrid"/>
    <x v="0"/>
    <n v="100"/>
    <n v="86"/>
    <x v="5"/>
    <n v="1989"/>
    <n v="24"/>
    <n v="100000000"/>
    <x v="2"/>
  </r>
  <r>
    <n v="10"/>
    <s v="Portugal"/>
    <x v="9"/>
    <s v="Spain"/>
    <s v="Real Madrid"/>
    <x v="3"/>
    <s v="Juventus"/>
    <x v="0"/>
    <n v="100"/>
    <n v="88"/>
    <x v="1"/>
    <n v="1985"/>
    <n v="33"/>
    <n v="100000000"/>
    <x v="1"/>
  </r>
  <r>
    <n v="11"/>
    <s v="Belgium"/>
    <x v="10"/>
    <s v="England"/>
    <s v="Chelsea"/>
    <x v="1"/>
    <s v="Real Madrid"/>
    <x v="0"/>
    <n v="100"/>
    <n v="89"/>
    <x v="2"/>
    <n v="1991"/>
    <n v="28"/>
    <n v="100000000"/>
    <x v="3"/>
  </r>
  <r>
    <n v="12"/>
    <s v="Portugal"/>
    <x v="9"/>
    <s v="England"/>
    <s v="Manchester United"/>
    <x v="1"/>
    <s v="Real Madrid"/>
    <x v="0"/>
    <n v="94"/>
    <n v="80"/>
    <x v="6"/>
    <n v="1985"/>
    <n v="24"/>
    <n v="94000000"/>
    <x v="3"/>
  </r>
  <r>
    <n v="13"/>
    <s v="Argentina"/>
    <x v="11"/>
    <s v="Italy"/>
    <s v="Napoli"/>
    <x v="3"/>
    <s v="Juventus"/>
    <x v="2"/>
    <n v="90"/>
    <n v="75.3"/>
    <x v="4"/>
    <n v="1987"/>
    <n v="29"/>
    <n v="90000000"/>
    <x v="1"/>
  </r>
  <r>
    <n v="14"/>
    <s v="England"/>
    <x v="12"/>
    <s v="England"/>
    <s v="Leicester City"/>
    <x v="2"/>
    <s v="Manchester United"/>
    <x v="3"/>
    <n v="87"/>
    <n v="80"/>
    <x v="2"/>
    <n v="1993"/>
    <n v="26"/>
    <n v="87000000"/>
    <x v="3"/>
  </r>
  <r>
    <n v="15"/>
    <s v="Belgium"/>
    <x v="13"/>
    <s v="England"/>
    <s v="Everton"/>
    <x v="2"/>
    <s v="Manchester United"/>
    <x v="2"/>
    <n v="85"/>
    <n v="75"/>
    <x v="0"/>
    <n v="1993"/>
    <n v="24"/>
    <n v="85000000"/>
    <x v="1"/>
  </r>
  <r>
    <n v="16"/>
    <s v="England"/>
    <x v="14"/>
    <s v="Germany"/>
    <s v="Borussia Dortmund"/>
    <x v="2"/>
    <s v="Manchester United"/>
    <x v="1"/>
    <n v="85"/>
    <n v="73"/>
    <x v="3"/>
    <n v="2000"/>
    <n v="21"/>
    <n v="85000000"/>
    <x v="1"/>
  </r>
  <r>
    <n v="17"/>
    <s v="Netherlands"/>
    <x v="15"/>
    <s v="England"/>
    <s v="Southampton"/>
    <x v="2"/>
    <s v="Liverpool"/>
    <x v="3"/>
    <n v="85"/>
    <n v="75"/>
    <x v="1"/>
    <n v="1991"/>
    <n v="27"/>
    <n v="85000000"/>
    <x v="2"/>
  </r>
  <r>
    <n v="18"/>
    <s v="Uruguay"/>
    <x v="16"/>
    <s v="England"/>
    <s v="Liverpool"/>
    <x v="1"/>
    <s v="Barcelona"/>
    <x v="2"/>
    <n v="82"/>
    <n v="65"/>
    <x v="7"/>
    <n v="1987"/>
    <n v="27"/>
    <n v="82000000"/>
    <x v="1"/>
  </r>
  <r>
    <n v="19"/>
    <s v="Spain"/>
    <x v="17"/>
    <s v="Spain"/>
    <s v="Athletic Bilbao"/>
    <x v="2"/>
    <s v="Chelsea"/>
    <x v="4"/>
    <n v="80"/>
    <n v="71.599999999999994"/>
    <x v="1"/>
    <n v="1994"/>
    <n v="24"/>
    <n v="80000000"/>
    <x v="1"/>
  </r>
  <r>
    <n v="20"/>
    <s v="Ivory Coast"/>
    <x v="18"/>
    <s v="France"/>
    <s v="Lille"/>
    <x v="2"/>
    <s v="Arsenal"/>
    <x v="0"/>
    <n v="80"/>
    <n v="72"/>
    <x v="2"/>
    <n v="1995"/>
    <n v="24"/>
    <n v="80000000"/>
    <x v="1"/>
  </r>
  <r>
    <n v="21"/>
    <s v="France"/>
    <x v="19"/>
    <s v="Spain"/>
    <s v="AtlÃ©tico Madrid"/>
    <x v="4"/>
    <s v="Bayern Munich"/>
    <x v="3"/>
    <n v="80"/>
    <n v="68"/>
    <x v="2"/>
    <n v="1996"/>
    <n v="23"/>
    <n v="80000000"/>
    <x v="1"/>
  </r>
  <r>
    <n v="22"/>
    <s v="Belgium"/>
    <x v="13"/>
    <s v="England"/>
    <s v="Manchester United"/>
    <x v="3"/>
    <s v="Internazionale"/>
    <x v="2"/>
    <n v="80"/>
    <n v="74"/>
    <x v="2"/>
    <n v="1993"/>
    <n v="26"/>
    <n v="80000000"/>
    <x v="1"/>
  </r>
  <r>
    <n v="23"/>
    <s v="Germany"/>
    <x v="20"/>
    <s v="Germany"/>
    <s v="Bayer Leverkusen"/>
    <x v="2"/>
    <s v="Chelsea"/>
    <x v="1"/>
    <n v="77"/>
    <n v="70"/>
    <x v="8"/>
    <n v="1999"/>
    <n v="21"/>
    <n v="77000000"/>
    <x v="1"/>
  </r>
  <r>
    <n v="24"/>
    <s v="France"/>
    <x v="21"/>
    <s v="Italy"/>
    <s v="Juventus"/>
    <x v="1"/>
    <s v="Real Madrid"/>
    <x v="1"/>
    <n v="76"/>
    <n v="46.6"/>
    <x v="9"/>
    <n v="1972"/>
    <n v="29"/>
    <n v="76000000"/>
    <x v="2"/>
  </r>
  <r>
    <n v="25"/>
    <s v="Argentina"/>
    <x v="22"/>
    <s v="Spain"/>
    <s v="Real Madrid"/>
    <x v="2"/>
    <s v="Manchester United"/>
    <x v="1"/>
    <n v="76"/>
    <n v="59.7"/>
    <x v="7"/>
    <n v="1988"/>
    <n v="26"/>
    <n v="76000000"/>
    <x v="3"/>
  </r>
  <r>
    <n v="26"/>
    <s v="Netherlands"/>
    <x v="23"/>
    <s v="Netherlands"/>
    <s v="Ajax"/>
    <x v="3"/>
    <s v="Juventus"/>
    <x v="3"/>
    <n v="75"/>
    <n v="67.5"/>
    <x v="2"/>
    <n v="1999"/>
    <n v="20"/>
    <n v="75000000"/>
    <x v="1"/>
  </r>
  <r>
    <n v="27"/>
    <s v="Netherlands"/>
    <x v="24"/>
    <s v="Netherlands"/>
    <s v="Ajax"/>
    <x v="1"/>
    <s v="Barcelona"/>
    <x v="1"/>
    <n v="75"/>
    <n v="65"/>
    <x v="2"/>
    <n v="1997"/>
    <n v="22"/>
    <n v="75000000"/>
    <x v="2"/>
  </r>
  <r>
    <n v="28"/>
    <s v="Colombia"/>
    <x v="25"/>
    <s v="France"/>
    <s v="Monaco"/>
    <x v="1"/>
    <s v="Real Madrid"/>
    <x v="1"/>
    <n v="75"/>
    <n v="63"/>
    <x v="7"/>
    <n v="1991"/>
    <n v="23"/>
    <n v="75000000"/>
    <x v="1"/>
  </r>
  <r>
    <n v="29"/>
    <s v="Belgium"/>
    <x v="26"/>
    <s v="Germany"/>
    <s v="VfL Wolfsburg"/>
    <x v="2"/>
    <s v="Manchester City"/>
    <x v="1"/>
    <n v="75"/>
    <n v="55"/>
    <x v="10"/>
    <n v="1991"/>
    <n v="24"/>
    <n v="75000000"/>
    <x v="1"/>
  </r>
  <r>
    <n v="30"/>
    <s v="Brazil"/>
    <x v="27"/>
    <s v="Spain"/>
    <s v="Barcelona"/>
    <x v="3"/>
    <s v="Juventus"/>
    <x v="1"/>
    <n v="72"/>
    <n v="66"/>
    <x v="8"/>
    <n v="1996"/>
    <n v="24"/>
    <n v="72000000"/>
    <x v="1"/>
  </r>
  <r>
    <n v="31"/>
    <s v="Spain"/>
    <x v="28"/>
    <s v="Spain"/>
    <s v="AtlÃ©tico Madrid"/>
    <x v="2"/>
    <s v="Manchester City"/>
    <x v="1"/>
    <n v="70"/>
    <n v="63"/>
    <x v="2"/>
    <n v="1996"/>
    <n v="23"/>
    <n v="70000000"/>
    <x v="1"/>
  </r>
  <r>
    <n v="32"/>
    <s v="Nigeria"/>
    <x v="29"/>
    <s v="France"/>
    <s v="Lille"/>
    <x v="3"/>
    <s v="Napoli"/>
    <x v="0"/>
    <n v="70"/>
    <n v="65"/>
    <x v="8"/>
    <n v="1998"/>
    <n v="22"/>
    <n v="70000000"/>
    <x v="1"/>
  </r>
  <r>
    <n v="33"/>
    <s v="France"/>
    <x v="30"/>
    <s v="France"/>
    <s v="Monaco"/>
    <x v="1"/>
    <s v="AtlÃ©tico Madrid"/>
    <x v="1"/>
    <n v="70"/>
    <n v="63"/>
    <x v="1"/>
    <n v="1995"/>
    <n v="23"/>
    <n v="70000000"/>
    <x v="1"/>
  </r>
  <r>
    <n v="34"/>
    <s v="Sweden"/>
    <x v="31"/>
    <s v="Italy"/>
    <s v="Internazionale"/>
    <x v="1"/>
    <s v="Barcelona"/>
    <x v="2"/>
    <n v="70"/>
    <n v="56"/>
    <x v="6"/>
    <n v="1981"/>
    <n v="28"/>
    <n v="70000000"/>
    <x v="1"/>
  </r>
  <r>
    <n v="35"/>
    <s v="Portugal"/>
    <x v="32"/>
    <s v="Portugal"/>
    <s v="Benfica"/>
    <x v="2"/>
    <s v="Manchester City"/>
    <x v="3"/>
    <n v="68"/>
    <n v="61.64"/>
    <x v="8"/>
    <n v="1997"/>
    <n v="23"/>
    <n v="68000000"/>
    <x v="3"/>
  </r>
  <r>
    <n v="36"/>
    <s v="Algeria"/>
    <x v="33"/>
    <s v="England"/>
    <s v="Leicester City"/>
    <x v="2"/>
    <s v="Manchester City"/>
    <x v="0"/>
    <n v="68"/>
    <n v="60"/>
    <x v="1"/>
    <n v="1991"/>
    <n v="27"/>
    <n v="68000000"/>
    <x v="1"/>
  </r>
  <r>
    <n v="37"/>
    <s v="Brazil"/>
    <x v="34"/>
    <s v="Italy"/>
    <s v="Milan"/>
    <x v="1"/>
    <s v="Real Madrid"/>
    <x v="1"/>
    <n v="67"/>
    <n v="56"/>
    <x v="6"/>
    <n v="1982"/>
    <n v="27"/>
    <n v="67000000"/>
    <x v="1"/>
  </r>
  <r>
    <n v="38"/>
    <s v="Spain"/>
    <x v="35"/>
    <s v="Spain"/>
    <s v="Real Madrid"/>
    <x v="2"/>
    <s v="Chelsea"/>
    <x v="2"/>
    <n v="66"/>
    <n v="58"/>
    <x v="0"/>
    <n v="1992"/>
    <n v="25"/>
    <n v="66000000"/>
    <x v="1"/>
  </r>
  <r>
    <n v="39"/>
    <s v="France"/>
    <x v="36"/>
    <s v="Spain"/>
    <s v="Athletic Bilbao"/>
    <x v="2"/>
    <s v="Manchester City"/>
    <x v="3"/>
    <n v="65"/>
    <n v="57"/>
    <x v="1"/>
    <n v="1994"/>
    <n v="24"/>
    <n v="65000000"/>
    <x v="1"/>
  </r>
  <r>
    <n v="40"/>
    <s v="Portugal"/>
    <x v="37"/>
    <s v="Italy"/>
    <s v="Juventus"/>
    <x v="2"/>
    <s v="Manchester City"/>
    <x v="3"/>
    <n v="65"/>
    <n v="60"/>
    <x v="2"/>
    <n v="1994"/>
    <n v="25"/>
    <n v="65000000"/>
    <x v="1"/>
  </r>
  <r>
    <n v="41"/>
    <s v="Uruguay"/>
    <x v="38"/>
    <s v="Italy"/>
    <s v="Napoli"/>
    <x v="0"/>
    <s v="Paris Saint-Germain"/>
    <x v="2"/>
    <n v="65"/>
    <n v="55"/>
    <x v="5"/>
    <n v="1987"/>
    <n v="26"/>
    <n v="65000000"/>
    <x v="1"/>
  </r>
  <r>
    <n v="42"/>
    <s v="United States"/>
    <x v="39"/>
    <s v="Germany"/>
    <s v="Borussia Dortmund"/>
    <x v="2"/>
    <s v="Chelsea"/>
    <x v="0"/>
    <n v="64"/>
    <n v="58"/>
    <x v="2"/>
    <n v="1998"/>
    <n v="21"/>
    <n v="64000000"/>
    <x v="1"/>
  </r>
  <r>
    <n v="42"/>
    <s v="Argentina"/>
    <x v="22"/>
    <s v="England"/>
    <s v="Manchester United"/>
    <x v="0"/>
    <s v="Paris Saint-Germain"/>
    <x v="1"/>
    <n v="64"/>
    <n v="44"/>
    <x v="10"/>
    <n v="1988"/>
    <n v="27"/>
    <n v="64000000"/>
    <x v="2"/>
  </r>
  <r>
    <n v="44"/>
    <s v="Gabon"/>
    <x v="40"/>
    <s v="Germany"/>
    <s v="Borussia Dortmund"/>
    <x v="2"/>
    <s v="Arsenal"/>
    <x v="2"/>
    <n v="64"/>
    <n v="56.1"/>
    <x v="1"/>
    <n v="1989"/>
    <n v="29"/>
    <n v="64000000"/>
    <x v="1"/>
  </r>
  <r>
    <n v="45"/>
    <s v="England"/>
    <x v="41"/>
    <s v="England"/>
    <s v="Liverpool"/>
    <x v="2"/>
    <s v="Manchester City"/>
    <x v="0"/>
    <n v="63"/>
    <n v="44"/>
    <x v="10"/>
    <n v="1994"/>
    <n v="21"/>
    <n v="63000000"/>
    <x v="3"/>
  </r>
  <r>
    <n v="45"/>
    <s v="Brazil"/>
    <x v="42"/>
    <s v="Italy"/>
    <s v="Roma"/>
    <x v="2"/>
    <s v="Liverpool"/>
    <x v="4"/>
    <n v="63"/>
    <n v="56"/>
    <x v="1"/>
    <n v="1992"/>
    <n v="26"/>
    <n v="63000000"/>
    <x v="2"/>
  </r>
  <r>
    <n v="47"/>
    <s v="Portugal"/>
    <x v="43"/>
    <s v="Spain"/>
    <s v="Barcelona"/>
    <x v="1"/>
    <s v="Real Madrid"/>
    <x v="1"/>
    <n v="62"/>
    <n v="37"/>
    <x v="11"/>
    <n v="1972"/>
    <n v="28"/>
    <n v="62000000"/>
    <x v="1"/>
  </r>
  <r>
    <n v="48"/>
    <s v="Brazil"/>
    <x v="44"/>
    <s v="England"/>
    <s v="Chelsea"/>
    <x v="5"/>
    <s v="Shanghai SIPG"/>
    <x v="1"/>
    <n v="61"/>
    <n v="52"/>
    <x v="0"/>
    <n v="1991"/>
    <n v="26"/>
    <n v="61000000"/>
    <x v="3"/>
  </r>
  <r>
    <n v="49"/>
    <s v="Serbia"/>
    <x v="45"/>
    <s v="Germany"/>
    <s v="Eintracht Frankfurt"/>
    <x v="1"/>
    <s v="Real Madrid"/>
    <x v="2"/>
    <n v="60"/>
    <n v="52.4"/>
    <x v="2"/>
    <n v="1997"/>
    <n v="22"/>
    <n v="60000000"/>
    <x v="1"/>
  </r>
  <r>
    <n v="50"/>
    <s v="Morocco"/>
    <x v="46"/>
    <s v="Italy"/>
    <s v="Internazionale"/>
    <x v="0"/>
    <s v="Paris Saint-Germain"/>
    <x v="3"/>
    <n v="60"/>
    <n v="51.3"/>
    <x v="3"/>
    <n v="1998"/>
    <n v="23"/>
    <n v="60000000"/>
    <x v="1"/>
  </r>
  <r>
    <n v="51"/>
    <s v="Guinea"/>
    <x v="47"/>
    <s v="Germany"/>
    <s v="RB Leipzig"/>
    <x v="2"/>
    <s v="Liverpool"/>
    <x v="1"/>
    <n v="60"/>
    <n v="52.75"/>
    <x v="1"/>
    <n v="1995"/>
    <n v="23"/>
    <n v="60000000"/>
    <x v="1"/>
  </r>
  <r>
    <n v="52"/>
    <s v="France"/>
    <x v="48"/>
    <s v="France"/>
    <s v="Lyon"/>
    <x v="2"/>
    <s v="Tottenham Hotspur"/>
    <x v="1"/>
    <n v="60"/>
    <n v="53.8"/>
    <x v="2"/>
    <n v="1996"/>
    <n v="23"/>
    <n v="60000000"/>
    <x v="1"/>
  </r>
  <r>
    <n v="53"/>
    <s v="Colombia"/>
    <x v="49"/>
    <s v="Spain"/>
    <s v="AtlÃ©tico Madrid"/>
    <x v="0"/>
    <s v="Monaco"/>
    <x v="2"/>
    <n v="60"/>
    <n v="51"/>
    <x v="5"/>
    <n v="1986"/>
    <n v="27"/>
    <n v="60000000"/>
    <x v="1"/>
  </r>
  <r>
    <n v="54"/>
    <s v="Bosnia and Herzegovina"/>
    <x v="50"/>
    <s v="Italy"/>
    <s v="Juventus"/>
    <x v="1"/>
    <s v="Barcelona"/>
    <x v="1"/>
    <n v="60"/>
    <n v="54.8"/>
    <x v="8"/>
    <n v="1990"/>
    <n v="30"/>
    <n v="60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9D23B-F03D-411F-9105-7E127C8E16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7" firstHeaderRow="0" firstDataRow="1" firstDataCol="1"/>
  <pivotFields count="15">
    <pivotField showAll="0"/>
    <pivotField showAll="0"/>
    <pivotField dataField="1" showAll="0">
      <items count="52">
        <item x="35"/>
        <item x="22"/>
        <item x="46"/>
        <item x="42"/>
        <item x="4"/>
        <item x="27"/>
        <item x="36"/>
        <item x="39"/>
        <item x="9"/>
        <item x="10"/>
        <item x="38"/>
        <item x="24"/>
        <item x="8"/>
        <item x="11"/>
        <item x="12"/>
        <item x="5"/>
        <item x="14"/>
        <item x="25"/>
        <item x="37"/>
        <item x="3"/>
        <item x="20"/>
        <item x="34"/>
        <item x="17"/>
        <item x="26"/>
        <item x="1"/>
        <item x="43"/>
        <item x="19"/>
        <item x="16"/>
        <item x="45"/>
        <item x="23"/>
        <item x="50"/>
        <item x="47"/>
        <item x="0"/>
        <item x="18"/>
        <item x="44"/>
        <item x="7"/>
        <item x="6"/>
        <item x="2"/>
        <item x="40"/>
        <item x="49"/>
        <item x="41"/>
        <item x="32"/>
        <item x="33"/>
        <item x="28"/>
        <item x="13"/>
        <item x="31"/>
        <item x="48"/>
        <item x="30"/>
        <item x="29"/>
        <item x="15"/>
        <item x="21"/>
        <item t="default"/>
      </items>
    </pivotField>
    <pivotField showAll="0"/>
    <pivotField showAll="0"/>
    <pivotField showAll="0"/>
    <pivotField showAll="0"/>
    <pivotField axis="axisRow" showAll="0">
      <items count="6">
        <item x="3"/>
        <item x="0"/>
        <item x="4"/>
        <item x="1"/>
        <item x="2"/>
        <item t="default"/>
      </items>
    </pivotField>
    <pivotField dataField="1" numFmtId="164" showAll="0"/>
    <pivotField showAll="0"/>
    <pivotField showAll="0"/>
    <pivotField showAll="0"/>
    <pivotField showAll="0"/>
    <pivotField numFmtId="165" showAll="0"/>
    <pivotField showAll="0">
      <items count="5">
        <item x="1"/>
        <item x="3"/>
        <item x="0"/>
        <item x="2"/>
        <item t="default"/>
      </items>
    </pivotField>
  </pivotFields>
  <rowFields count="1">
    <field x="7"/>
  </rowFields>
  <rowItems count="6">
    <i>
      <x/>
    </i>
    <i>
      <x v="1"/>
    </i>
    <i>
      <x v="2"/>
    </i>
    <i>
      <x v="3"/>
    </i>
    <i>
      <x v="4"/>
    </i>
    <i t="grand">
      <x/>
    </i>
  </rowItems>
  <colFields count="1">
    <field x="-2"/>
  </colFields>
  <colItems count="2">
    <i>
      <x/>
    </i>
    <i i="1">
      <x v="1"/>
    </i>
  </colItems>
  <dataFields count="2">
    <dataField name="Average of Fee(â‚¬ mln)" fld="8" subtotal="average" baseField="7" baseItem="0"/>
    <dataField name="Count of Player"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90879-78A8-4B2B-9263-4B80A052BE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2:C23" firstHeaderRow="1" firstDataRow="1" firstDataCol="0"/>
  <pivotFields count="15">
    <pivotField showAll="0"/>
    <pivotField showAll="0"/>
    <pivotField showAll="0"/>
    <pivotField showAll="0"/>
    <pivotField showAll="0"/>
    <pivotField showAll="0"/>
    <pivotField showAll="0"/>
    <pivotField showAll="0">
      <items count="6">
        <item x="3"/>
        <item x="0"/>
        <item x="4"/>
        <item x="1"/>
        <item x="2"/>
        <item t="default"/>
      </items>
    </pivotField>
    <pivotField dataField="1" numFmtId="164" showAll="0"/>
    <pivotField showAll="0"/>
    <pivotField showAll="0"/>
    <pivotField showAll="0"/>
    <pivotField showAll="0"/>
    <pivotField numFmtId="165" showAll="0"/>
    <pivotField showAll="0">
      <items count="5">
        <item x="1"/>
        <item x="3"/>
        <item x="0"/>
        <item x="2"/>
        <item t="default"/>
      </items>
    </pivotField>
  </pivotFields>
  <rowItems count="1">
    <i/>
  </rowItems>
  <colItems count="1">
    <i/>
  </colItems>
  <dataFields count="1">
    <dataField name="Average of Fee(â‚¬ mln)" fld="8" subtotal="average"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B4A1B8-0E4E-4C71-B1F6-5C8ECEDEAF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B23" firstHeaderRow="1" firstDataRow="1" firstDataCol="0"/>
  <pivotFields count="15">
    <pivotField showAll="0"/>
    <pivotField showAll="0"/>
    <pivotField showAll="0"/>
    <pivotField showAll="0"/>
    <pivotField showAll="0"/>
    <pivotField showAll="0"/>
    <pivotField showAll="0"/>
    <pivotField showAll="0">
      <items count="6">
        <item x="3"/>
        <item x="0"/>
        <item x="4"/>
        <item x="1"/>
        <item x="2"/>
        <item t="default"/>
      </items>
    </pivotField>
    <pivotField numFmtId="164" showAll="0"/>
    <pivotField showAll="0"/>
    <pivotField showAll="0"/>
    <pivotField showAll="0"/>
    <pivotField showAll="0"/>
    <pivotField dataField="1" numFmtId="165" showAll="0"/>
    <pivotField showAll="0">
      <items count="5">
        <item x="1"/>
        <item x="3"/>
        <item x="0"/>
        <item x="2"/>
        <item t="default"/>
      </items>
    </pivotField>
  </pivotFields>
  <rowItems count="1">
    <i/>
  </rowItems>
  <colItems count="1">
    <i/>
  </colItems>
  <dataFields count="1">
    <dataField name="Sum of Fee(Raw Euros)" fld="13"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369C2B-87A5-48D8-8CA3-0CF12C249B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15">
    <pivotField showAll="0"/>
    <pivotField showAll="0"/>
    <pivotField dataField="1" showAll="0"/>
    <pivotField showAll="0"/>
    <pivotField showAll="0"/>
    <pivotField showAll="0"/>
    <pivotField showAll="0"/>
    <pivotField showAll="0">
      <items count="6">
        <item x="3"/>
        <item x="0"/>
        <item x="4"/>
        <item x="1"/>
        <item x="2"/>
        <item t="default"/>
      </items>
    </pivotField>
    <pivotField numFmtId="164" showAll="0"/>
    <pivotField showAll="0"/>
    <pivotField showAll="0"/>
    <pivotField showAll="0"/>
    <pivotField showAll="0"/>
    <pivotField numFmtId="165" showAll="0"/>
    <pivotField showAll="0">
      <items count="5">
        <item x="1"/>
        <item x="3"/>
        <item x="0"/>
        <item x="2"/>
        <item t="default"/>
      </items>
    </pivotField>
  </pivotFields>
  <rowItems count="1">
    <i/>
  </rowItems>
  <colItems count="1">
    <i/>
  </colItems>
  <dataFields count="1">
    <dataField name="Count of Play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3118AE-90B0-428A-BB08-7F2557A57D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I14" firstHeaderRow="1" firstDataRow="1" firstDataCol="1"/>
  <pivotFields count="15">
    <pivotField showAll="0"/>
    <pivotField showAll="0"/>
    <pivotField showAll="0"/>
    <pivotField showAll="0"/>
    <pivotField showAll="0"/>
    <pivotField showAll="0"/>
    <pivotField showAll="0"/>
    <pivotField showAll="0">
      <items count="6">
        <item x="3"/>
        <item x="0"/>
        <item x="4"/>
        <item x="1"/>
        <item x="2"/>
        <item t="default"/>
      </items>
    </pivotField>
    <pivotField dataField="1" numFmtId="164" showAll="0"/>
    <pivotField showAll="0"/>
    <pivotField axis="axisRow" showAll="0">
      <items count="13">
        <item x="11"/>
        <item x="9"/>
        <item x="6"/>
        <item x="5"/>
        <item x="7"/>
        <item x="10"/>
        <item x="4"/>
        <item x="0"/>
        <item x="1"/>
        <item x="2"/>
        <item x="8"/>
        <item x="3"/>
        <item t="default"/>
      </items>
    </pivotField>
    <pivotField showAll="0"/>
    <pivotField showAll="0"/>
    <pivotField numFmtId="165" showAll="0"/>
    <pivotField showAll="0">
      <items count="5">
        <item x="1"/>
        <item x="3"/>
        <item x="0"/>
        <item x="2"/>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Average of Fee(â‚¬ mln)" fld="8" subtotal="average" baseField="1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7EDC86-2B13-468F-BAAC-B3D4AD4C60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8" firstHeaderRow="1" firstDataRow="1" firstDataCol="1"/>
  <pivotFields count="15">
    <pivotField showAll="0"/>
    <pivotField showAll="0"/>
    <pivotField showAll="0"/>
    <pivotField showAll="0"/>
    <pivotField showAll="0"/>
    <pivotField axis="axisRow" showAll="0" measureFilter="1">
      <items count="7">
        <item x="5"/>
        <item x="2"/>
        <item x="0"/>
        <item x="4"/>
        <item x="3"/>
        <item x="1"/>
        <item t="default"/>
      </items>
    </pivotField>
    <pivotField showAll="0"/>
    <pivotField showAll="0">
      <items count="6">
        <item x="3"/>
        <item x="0"/>
        <item x="4"/>
        <item x="1"/>
        <item x="2"/>
        <item t="default"/>
      </items>
    </pivotField>
    <pivotField numFmtId="164" showAll="0"/>
    <pivotField showAll="0"/>
    <pivotField showAll="0"/>
    <pivotField showAll="0"/>
    <pivotField showAll="0"/>
    <pivotField dataField="1" numFmtId="165" showAll="0"/>
    <pivotField showAll="0">
      <items count="5">
        <item x="1"/>
        <item x="3"/>
        <item x="0"/>
        <item x="2"/>
        <item t="default"/>
      </items>
    </pivotField>
  </pivotFields>
  <rowFields count="1">
    <field x="5"/>
  </rowFields>
  <rowItems count="7">
    <i>
      <x/>
    </i>
    <i>
      <x v="1"/>
    </i>
    <i>
      <x v="2"/>
    </i>
    <i>
      <x v="3"/>
    </i>
    <i>
      <x v="4"/>
    </i>
    <i>
      <x v="5"/>
    </i>
    <i t="grand">
      <x/>
    </i>
  </rowItems>
  <colItems count="1">
    <i/>
  </colItems>
  <dataFields count="1">
    <dataField name="Sum of Fee(Raw Euros)"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A2D6D8F3-57FA-469B-986D-65EA5B5CD0D5}" sourceName="Position">
  <pivotTables>
    <pivotTable tabId="2" name="PivotTable1"/>
    <pivotTable tabId="2" name="PivotTable2"/>
    <pivotTable tabId="2" name="PivotTable3"/>
    <pivotTable tabId="2" name="PivotTable4"/>
    <pivotTable tabId="2" name="PivotTable5"/>
    <pivotTable tabId="2" name="PivotTable6"/>
  </pivotTables>
  <data>
    <tabular pivotCacheId="135028573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00B0328-763C-4D74-9DAF-0C19EB516AEC}" sourceName="Age_Group">
  <pivotTables>
    <pivotTable tabId="2" name="PivotTable3"/>
    <pivotTable tabId="2" name="PivotTable1"/>
    <pivotTable tabId="2" name="PivotTable2"/>
    <pivotTable tabId="2" name="PivotTable4"/>
    <pivotTable tabId="2" name="PivotTable5"/>
    <pivotTable tabId="2" name="PivotTable6"/>
  </pivotTables>
  <data>
    <tabular pivotCacheId="1350285738">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AC1B7AD2-D515-470F-9D66-42C2E4452396}" cache="Slicer_Position" caption="Position" style="SlicerStyleDark2" rowHeight="247650"/>
  <slicer name="Age_Group" xr10:uid="{13190B06-9E80-4637-9619-38D9E23013BC}" cache="Slicer_Age_Group" caption="Age_Group"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B5590-7D71-4486-BE6A-05E879E23ADA}" name="Table1" displayName="Table1" ref="Q10:R13" totalsRowShown="0">
  <autoFilter ref="Q10:R13" xr:uid="{DFCB5590-7D71-4486-BE6A-05E879E23ADA}"/>
  <tableColumns count="2">
    <tableColumn id="1" xr3:uid="{6587DB2F-C991-4031-8FD4-1BD90FDD1FC8}" name="Age Min"/>
    <tableColumn id="2" xr3:uid="{0CA62476-F6C4-44BB-9BFD-CD79C3033308}" name="Age Group Lab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2A72F4-8F54-4785-A444-9D4ECEC16883}" name="Tranfer_Data" displayName="Tranfer_Data" ref="A1:O55" totalsRowShown="0">
  <autoFilter ref="A1:O55" xr:uid="{B82A72F4-8F54-4785-A444-9D4ECEC16883}"/>
  <tableColumns count="15">
    <tableColumn id="1" xr3:uid="{B5765A87-8655-4765-BB26-A025F411B916}" name="Rank"/>
    <tableColumn id="2" xr3:uid="{EF7FD70A-8D53-41FB-913A-B8A1B15299AC}" name="Origin"/>
    <tableColumn id="3" xr3:uid="{8A096FEB-9378-41D2-899C-0B440E53E4EF}" name="Player"/>
    <tableColumn id="4" xr3:uid="{1F00A645-17E4-4E7F-9F89-DE298530A304}" name="From(Country)"/>
    <tableColumn id="5" xr3:uid="{93BBE74E-CEDC-4186-B483-DDD3218E5D58}" name="From(Club)"/>
    <tableColumn id="6" xr3:uid="{0EA6DECC-1FDD-4B67-8646-2D7EB6E0D5FB}" name="To(Country)"/>
    <tableColumn id="7" xr3:uid="{B8EF8670-3C46-46EA-8AC0-16DDB08A9618}" name="To(Club)"/>
    <tableColumn id="8" xr3:uid="{2081CA01-6570-4AF3-8B44-8F94B8246E38}" name="Position"/>
    <tableColumn id="9" xr3:uid="{2D914B82-5517-4FF4-8876-6DD392CD83C2}" name="Fee(â‚¬ mln)" dataDxfId="5"/>
    <tableColumn id="10" xr3:uid="{1DD2BD3A-693D-43D7-AD53-3E28C763284E}" name="Fee(Â£ mln)" dataDxfId="4"/>
    <tableColumn id="11" xr3:uid="{567E9714-E1EE-4EDC-9F0C-721F42274B56}" name="Year"/>
    <tableColumn id="12" xr3:uid="{38CD85A2-ACA9-4AA7-A4B3-0DA703D06CD1}" name="Born"/>
    <tableColumn id="13" xr3:uid="{7ADDBACA-F544-4E74-8D26-8CA5C88B91C7}" name="Transfer_age"/>
    <tableColumn id="14" xr3:uid="{A2F3B92F-5D62-49DC-A159-0CAD40CF7947}" name="Fee(Raw Euros)" dataDxfId="3"/>
    <tableColumn id="15" xr3:uid="{7B8BA684-D00C-4273-9159-88FC7C1ABC21}" name="Age group" dataDxfId="2">
      <calculatedColumnFormula>VLOOKUP(Tranfer_Data[[#This Row],[Transfer_age]],Table1[],2,TRUE)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FBC0-6B0D-4FD2-B84E-A67395EB8C65}">
  <dimension ref="A1:R55"/>
  <sheetViews>
    <sheetView tabSelected="1" workbookViewId="0">
      <selection activeCell="L19" sqref="L19"/>
    </sheetView>
  </sheetViews>
  <sheetFormatPr defaultRowHeight="14.5" x14ac:dyDescent="0.35"/>
  <cols>
    <col min="4" max="4" width="15" customWidth="1"/>
    <col min="5" max="5" width="12.453125" customWidth="1"/>
    <col min="6" max="6" width="12.54296875" customWidth="1"/>
    <col min="7" max="7" width="10" customWidth="1"/>
    <col min="8" max="8" width="9.6328125" customWidth="1"/>
    <col min="9" max="9" width="13.36328125" customWidth="1"/>
    <col min="10" max="10" width="12.90625" style="15" customWidth="1"/>
    <col min="13" max="13" width="13.1796875" customWidth="1"/>
    <col min="14" max="14" width="17.6328125" customWidth="1"/>
    <col min="15" max="15" width="14.36328125" customWidth="1"/>
    <col min="17" max="17" width="14.90625" customWidth="1"/>
    <col min="18" max="18" width="16.1796875" customWidth="1"/>
  </cols>
  <sheetData>
    <row r="1" spans="1:18" x14ac:dyDescent="0.35">
      <c r="A1" t="s">
        <v>0</v>
      </c>
      <c r="B1" t="s">
        <v>1</v>
      </c>
      <c r="C1" t="s">
        <v>2</v>
      </c>
      <c r="D1" t="s">
        <v>3</v>
      </c>
      <c r="E1" t="s">
        <v>4</v>
      </c>
      <c r="F1" t="s">
        <v>5</v>
      </c>
      <c r="G1" t="s">
        <v>6</v>
      </c>
      <c r="H1" t="s">
        <v>7</v>
      </c>
      <c r="I1" t="s">
        <v>8</v>
      </c>
      <c r="J1" s="15" t="s">
        <v>9</v>
      </c>
      <c r="K1" t="s">
        <v>10</v>
      </c>
      <c r="L1" t="s">
        <v>11</v>
      </c>
      <c r="M1" t="s">
        <v>12</v>
      </c>
      <c r="N1" t="s">
        <v>13</v>
      </c>
      <c r="O1" t="s">
        <v>132</v>
      </c>
    </row>
    <row r="2" spans="1:18" x14ac:dyDescent="0.35">
      <c r="A2">
        <v>1</v>
      </c>
      <c r="B2" t="s">
        <v>14</v>
      </c>
      <c r="C2" t="s">
        <v>15</v>
      </c>
      <c r="D2" t="s">
        <v>16</v>
      </c>
      <c r="E2" t="s">
        <v>17</v>
      </c>
      <c r="F2" t="s">
        <v>18</v>
      </c>
      <c r="G2" t="s">
        <v>19</v>
      </c>
      <c r="H2" t="s">
        <v>20</v>
      </c>
      <c r="I2" s="1">
        <v>222</v>
      </c>
      <c r="J2" s="15">
        <v>198</v>
      </c>
      <c r="K2">
        <v>2017</v>
      </c>
      <c r="L2">
        <v>1992</v>
      </c>
      <c r="M2">
        <v>25</v>
      </c>
      <c r="N2" s="2">
        <v>222000000</v>
      </c>
      <c r="O2" t="str">
        <f>VLOOKUP(Tranfer_Data[[#This Row],[Transfer_age]],Table1[],2,TRUE)</f>
        <v>22-27 Peak</v>
      </c>
    </row>
    <row r="3" spans="1:18" x14ac:dyDescent="0.35">
      <c r="A3">
        <v>2</v>
      </c>
      <c r="B3" t="s">
        <v>18</v>
      </c>
      <c r="C3" t="s">
        <v>22</v>
      </c>
      <c r="D3" t="s">
        <v>18</v>
      </c>
      <c r="E3" t="s">
        <v>23</v>
      </c>
      <c r="F3" t="s">
        <v>18</v>
      </c>
      <c r="G3" t="s">
        <v>19</v>
      </c>
      <c r="H3" t="s">
        <v>20</v>
      </c>
      <c r="I3" s="1">
        <v>180</v>
      </c>
      <c r="J3" s="15">
        <v>163</v>
      </c>
      <c r="K3">
        <v>2018</v>
      </c>
      <c r="L3">
        <v>1998</v>
      </c>
      <c r="M3">
        <v>20</v>
      </c>
      <c r="N3" s="2">
        <v>180000000</v>
      </c>
      <c r="O3" t="str">
        <f>VLOOKUP(Tranfer_Data[[#This Row],[Transfer_age]],Table1[],2,TRUE)</f>
        <v>U-22 Prospect</v>
      </c>
    </row>
    <row r="4" spans="1:18" x14ac:dyDescent="0.35">
      <c r="A4">
        <v>3</v>
      </c>
      <c r="B4" t="s">
        <v>14</v>
      </c>
      <c r="C4" t="s">
        <v>25</v>
      </c>
      <c r="D4" t="s">
        <v>26</v>
      </c>
      <c r="E4" t="s">
        <v>27</v>
      </c>
      <c r="F4" t="s">
        <v>16</v>
      </c>
      <c r="G4" t="s">
        <v>17</v>
      </c>
      <c r="H4" t="s">
        <v>28</v>
      </c>
      <c r="I4" s="1">
        <v>145</v>
      </c>
      <c r="J4" s="15">
        <v>105</v>
      </c>
      <c r="K4">
        <v>2018</v>
      </c>
      <c r="L4">
        <v>1992</v>
      </c>
      <c r="M4">
        <v>26</v>
      </c>
      <c r="N4" s="2">
        <v>145000000</v>
      </c>
      <c r="O4" t="str">
        <f>VLOOKUP(Tranfer_Data[[#This Row],[Transfer_age]],Table1[],2,TRUE)</f>
        <v>22-27 Peak</v>
      </c>
    </row>
    <row r="5" spans="1:18" x14ac:dyDescent="0.35">
      <c r="A5">
        <v>4</v>
      </c>
      <c r="B5" t="s">
        <v>30</v>
      </c>
      <c r="C5" t="s">
        <v>31</v>
      </c>
      <c r="D5" t="s">
        <v>30</v>
      </c>
      <c r="E5" t="s">
        <v>32</v>
      </c>
      <c r="F5" t="s">
        <v>16</v>
      </c>
      <c r="G5" t="s">
        <v>33</v>
      </c>
      <c r="H5" t="s">
        <v>20</v>
      </c>
      <c r="I5" s="1">
        <v>126</v>
      </c>
      <c r="J5" s="15">
        <v>104.1</v>
      </c>
      <c r="K5">
        <v>2019</v>
      </c>
      <c r="L5">
        <v>1999</v>
      </c>
      <c r="M5">
        <v>20</v>
      </c>
      <c r="N5" s="2">
        <v>126000000</v>
      </c>
      <c r="O5" t="str">
        <f>VLOOKUP(Tranfer_Data[[#This Row],[Transfer_age]],Table1[],2,TRUE)</f>
        <v>U-22 Prospect</v>
      </c>
    </row>
    <row r="6" spans="1:18" x14ac:dyDescent="0.35">
      <c r="A6">
        <v>5</v>
      </c>
      <c r="B6" t="s">
        <v>18</v>
      </c>
      <c r="C6" t="s">
        <v>34</v>
      </c>
      <c r="D6" t="s">
        <v>16</v>
      </c>
      <c r="E6" t="s">
        <v>33</v>
      </c>
      <c r="F6" t="s">
        <v>16</v>
      </c>
      <c r="G6" t="s">
        <v>17</v>
      </c>
      <c r="H6" t="s">
        <v>20</v>
      </c>
      <c r="I6" s="1">
        <v>120</v>
      </c>
      <c r="J6" s="15">
        <v>107</v>
      </c>
      <c r="K6">
        <v>2019</v>
      </c>
      <c r="L6">
        <v>1991</v>
      </c>
      <c r="M6">
        <v>28</v>
      </c>
      <c r="N6" s="2">
        <v>120000000</v>
      </c>
      <c r="O6" t="str">
        <f>VLOOKUP(Tranfer_Data[[#This Row],[Transfer_age]],Table1[],2,TRUE)</f>
        <v>28+ Veteran</v>
      </c>
      <c r="Q6">
        <v>1</v>
      </c>
    </row>
    <row r="7" spans="1:18" x14ac:dyDescent="0.35">
      <c r="A7">
        <v>6</v>
      </c>
      <c r="B7" t="s">
        <v>26</v>
      </c>
      <c r="C7" t="s">
        <v>35</v>
      </c>
      <c r="D7" t="s">
        <v>26</v>
      </c>
      <c r="E7" t="s">
        <v>36</v>
      </c>
      <c r="F7" t="s">
        <v>26</v>
      </c>
      <c r="G7" t="s">
        <v>37</v>
      </c>
      <c r="H7" t="s">
        <v>28</v>
      </c>
      <c r="I7" s="1">
        <v>117</v>
      </c>
      <c r="J7" s="15">
        <v>100</v>
      </c>
      <c r="K7">
        <v>2021</v>
      </c>
      <c r="L7">
        <v>1995</v>
      </c>
      <c r="M7">
        <v>26</v>
      </c>
      <c r="N7" s="2">
        <v>117000000</v>
      </c>
      <c r="O7" t="str">
        <f>VLOOKUP(Tranfer_Data[[#This Row],[Transfer_age]],Table1[],2,TRUE)</f>
        <v>22-27 Peak</v>
      </c>
    </row>
    <row r="8" spans="1:18" x14ac:dyDescent="0.35">
      <c r="A8">
        <v>7</v>
      </c>
      <c r="B8" t="s">
        <v>18</v>
      </c>
      <c r="C8" t="s">
        <v>39</v>
      </c>
      <c r="D8" t="s">
        <v>40</v>
      </c>
      <c r="E8" t="s">
        <v>41</v>
      </c>
      <c r="F8" t="s">
        <v>26</v>
      </c>
      <c r="G8" t="s">
        <v>42</v>
      </c>
      <c r="H8" t="s">
        <v>28</v>
      </c>
      <c r="I8" s="1">
        <v>105</v>
      </c>
      <c r="J8" s="15">
        <v>89</v>
      </c>
      <c r="K8">
        <v>2016</v>
      </c>
      <c r="L8">
        <v>1993</v>
      </c>
      <c r="M8">
        <v>23</v>
      </c>
      <c r="N8" s="2">
        <v>105000000</v>
      </c>
      <c r="O8" t="str">
        <f>VLOOKUP(Tranfer_Data[[#This Row],[Transfer_age]],Table1[],2,TRUE)</f>
        <v>22-27 Peak</v>
      </c>
    </row>
    <row r="9" spans="1:18" x14ac:dyDescent="0.35">
      <c r="A9">
        <v>7</v>
      </c>
      <c r="B9" t="s">
        <v>18</v>
      </c>
      <c r="C9" t="s">
        <v>43</v>
      </c>
      <c r="D9" t="s">
        <v>44</v>
      </c>
      <c r="E9" t="s">
        <v>45</v>
      </c>
      <c r="F9" t="s">
        <v>16</v>
      </c>
      <c r="G9" t="s">
        <v>17</v>
      </c>
      <c r="H9" t="s">
        <v>20</v>
      </c>
      <c r="I9" s="1">
        <v>105</v>
      </c>
      <c r="J9" s="15">
        <v>97</v>
      </c>
      <c r="K9">
        <v>2017</v>
      </c>
      <c r="L9">
        <v>1997</v>
      </c>
      <c r="M9">
        <v>20</v>
      </c>
      <c r="N9" s="2">
        <v>105000000</v>
      </c>
      <c r="O9" t="str">
        <f>VLOOKUP(Tranfer_Data[[#This Row],[Transfer_age]],Table1[],2,TRUE)</f>
        <v>U-22 Prospect</v>
      </c>
    </row>
    <row r="10" spans="1:18" x14ac:dyDescent="0.35">
      <c r="A10">
        <v>9</v>
      </c>
      <c r="B10" t="s">
        <v>46</v>
      </c>
      <c r="C10" t="s">
        <v>47</v>
      </c>
      <c r="D10" t="s">
        <v>26</v>
      </c>
      <c r="E10" t="s">
        <v>48</v>
      </c>
      <c r="F10" t="s">
        <v>16</v>
      </c>
      <c r="G10" t="s">
        <v>49</v>
      </c>
      <c r="H10" t="s">
        <v>20</v>
      </c>
      <c r="I10" s="1">
        <v>100</v>
      </c>
      <c r="J10" s="15">
        <v>86</v>
      </c>
      <c r="K10">
        <v>2013</v>
      </c>
      <c r="L10">
        <v>1989</v>
      </c>
      <c r="M10">
        <v>24</v>
      </c>
      <c r="N10" s="2">
        <v>100000000</v>
      </c>
      <c r="O10" t="str">
        <f>VLOOKUP(Tranfer_Data[[#This Row],[Transfer_age]],Table1[],2,TRUE)</f>
        <v>22-27 Peak</v>
      </c>
      <c r="Q10" t="s">
        <v>50</v>
      </c>
      <c r="R10" t="s">
        <v>21</v>
      </c>
    </row>
    <row r="11" spans="1:18" x14ac:dyDescent="0.35">
      <c r="A11">
        <v>10</v>
      </c>
      <c r="B11" t="s">
        <v>30</v>
      </c>
      <c r="C11" t="s">
        <v>51</v>
      </c>
      <c r="D11" t="s">
        <v>16</v>
      </c>
      <c r="E11" t="s">
        <v>49</v>
      </c>
      <c r="F11" t="s">
        <v>40</v>
      </c>
      <c r="G11" t="s">
        <v>41</v>
      </c>
      <c r="H11" t="s">
        <v>20</v>
      </c>
      <c r="I11" s="1">
        <v>100</v>
      </c>
      <c r="J11" s="15">
        <v>88</v>
      </c>
      <c r="K11">
        <v>2018</v>
      </c>
      <c r="L11">
        <v>1985</v>
      </c>
      <c r="M11">
        <v>33</v>
      </c>
      <c r="N11" s="2">
        <v>100000000</v>
      </c>
      <c r="O11" t="str">
        <f>VLOOKUP(Tranfer_Data[[#This Row],[Transfer_age]],Table1[],2,TRUE)</f>
        <v>28+ Veteran</v>
      </c>
      <c r="Q11">
        <v>0</v>
      </c>
      <c r="R11" t="s">
        <v>29</v>
      </c>
    </row>
    <row r="12" spans="1:18" x14ac:dyDescent="0.35">
      <c r="A12">
        <v>11</v>
      </c>
      <c r="B12" t="s">
        <v>52</v>
      </c>
      <c r="C12" t="s">
        <v>53</v>
      </c>
      <c r="D12" t="s">
        <v>26</v>
      </c>
      <c r="E12" t="s">
        <v>54</v>
      </c>
      <c r="F12" t="s">
        <v>16</v>
      </c>
      <c r="G12" t="s">
        <v>49</v>
      </c>
      <c r="H12" t="s">
        <v>20</v>
      </c>
      <c r="I12" s="1">
        <v>100</v>
      </c>
      <c r="J12" s="15">
        <v>89</v>
      </c>
      <c r="K12">
        <v>2019</v>
      </c>
      <c r="L12">
        <v>1991</v>
      </c>
      <c r="M12">
        <v>28</v>
      </c>
      <c r="N12" s="2">
        <v>100000000</v>
      </c>
      <c r="O12" t="str">
        <f>VLOOKUP(Tranfer_Data[[#This Row],[Transfer_age]],Table1[],2,TRUE)</f>
        <v>28+ Veteran</v>
      </c>
      <c r="Q12">
        <v>22</v>
      </c>
      <c r="R12" t="s">
        <v>24</v>
      </c>
    </row>
    <row r="13" spans="1:18" x14ac:dyDescent="0.35">
      <c r="A13">
        <v>12</v>
      </c>
      <c r="B13" t="s">
        <v>30</v>
      </c>
      <c r="C13" t="s">
        <v>51</v>
      </c>
      <c r="D13" t="s">
        <v>26</v>
      </c>
      <c r="E13" t="s">
        <v>42</v>
      </c>
      <c r="F13" t="s">
        <v>16</v>
      </c>
      <c r="G13" t="s">
        <v>49</v>
      </c>
      <c r="H13" t="s">
        <v>20</v>
      </c>
      <c r="I13" s="1">
        <v>94</v>
      </c>
      <c r="J13" s="15">
        <v>80</v>
      </c>
      <c r="K13">
        <v>2009</v>
      </c>
      <c r="L13">
        <v>1985</v>
      </c>
      <c r="M13">
        <v>24</v>
      </c>
      <c r="N13" s="2">
        <v>94000000</v>
      </c>
      <c r="O13" t="str">
        <f>VLOOKUP(Tranfer_Data[[#This Row],[Transfer_age]],Table1[],2,TRUE)</f>
        <v>22-27 Peak</v>
      </c>
      <c r="Q13">
        <v>28</v>
      </c>
      <c r="R13" t="s">
        <v>38</v>
      </c>
    </row>
    <row r="14" spans="1:18" x14ac:dyDescent="0.35">
      <c r="A14">
        <v>13</v>
      </c>
      <c r="B14" t="s">
        <v>55</v>
      </c>
      <c r="C14" t="s">
        <v>56</v>
      </c>
      <c r="D14" t="s">
        <v>40</v>
      </c>
      <c r="E14" t="s">
        <v>57</v>
      </c>
      <c r="F14" t="s">
        <v>40</v>
      </c>
      <c r="G14" t="s">
        <v>41</v>
      </c>
      <c r="H14" t="s">
        <v>58</v>
      </c>
      <c r="I14" s="1">
        <v>90</v>
      </c>
      <c r="J14" s="15">
        <v>75.3</v>
      </c>
      <c r="K14">
        <v>2016</v>
      </c>
      <c r="L14">
        <v>1987</v>
      </c>
      <c r="M14">
        <v>29</v>
      </c>
      <c r="N14" s="2">
        <v>90000000</v>
      </c>
      <c r="O14" t="str">
        <f>VLOOKUP(Tranfer_Data[[#This Row],[Transfer_age]],Table1[],2,TRUE)</f>
        <v>28+ Veteran</v>
      </c>
    </row>
    <row r="15" spans="1:18" x14ac:dyDescent="0.35">
      <c r="A15">
        <v>14</v>
      </c>
      <c r="B15" t="s">
        <v>26</v>
      </c>
      <c r="C15" t="s">
        <v>59</v>
      </c>
      <c r="D15" t="s">
        <v>26</v>
      </c>
      <c r="E15" t="s">
        <v>60</v>
      </c>
      <c r="F15" t="s">
        <v>26</v>
      </c>
      <c r="G15" t="s">
        <v>42</v>
      </c>
      <c r="H15" t="s">
        <v>61</v>
      </c>
      <c r="I15" s="1">
        <v>87</v>
      </c>
      <c r="J15" s="15">
        <v>80</v>
      </c>
      <c r="K15">
        <v>2019</v>
      </c>
      <c r="L15">
        <v>1993</v>
      </c>
      <c r="M15">
        <v>26</v>
      </c>
      <c r="N15" s="2">
        <v>87000000</v>
      </c>
      <c r="O15" t="str">
        <f>VLOOKUP(Tranfer_Data[[#This Row],[Transfer_age]],Table1[],2,TRUE)</f>
        <v>22-27 Peak</v>
      </c>
    </row>
    <row r="16" spans="1:18" x14ac:dyDescent="0.35">
      <c r="A16">
        <v>15</v>
      </c>
      <c r="B16" t="s">
        <v>52</v>
      </c>
      <c r="C16" t="s">
        <v>62</v>
      </c>
      <c r="D16" t="s">
        <v>26</v>
      </c>
      <c r="E16" t="s">
        <v>63</v>
      </c>
      <c r="F16" t="s">
        <v>26</v>
      </c>
      <c r="G16" t="s">
        <v>42</v>
      </c>
      <c r="H16" t="s">
        <v>58</v>
      </c>
      <c r="I16" s="1">
        <v>85</v>
      </c>
      <c r="J16" s="15">
        <v>75</v>
      </c>
      <c r="K16">
        <v>2017</v>
      </c>
      <c r="L16">
        <v>1993</v>
      </c>
      <c r="M16">
        <v>24</v>
      </c>
      <c r="N16" s="2">
        <v>85000000</v>
      </c>
      <c r="O16" t="str">
        <f>VLOOKUP(Tranfer_Data[[#This Row],[Transfer_age]],Table1[],2,TRUE)</f>
        <v>22-27 Peak</v>
      </c>
      <c r="Q16" s="3" t="s">
        <v>64</v>
      </c>
      <c r="R16" s="4">
        <v>4494000000</v>
      </c>
    </row>
    <row r="17" spans="1:15" x14ac:dyDescent="0.35">
      <c r="A17">
        <v>16</v>
      </c>
      <c r="B17" t="s">
        <v>26</v>
      </c>
      <c r="C17" t="s">
        <v>65</v>
      </c>
      <c r="D17" t="s">
        <v>44</v>
      </c>
      <c r="E17" t="s">
        <v>45</v>
      </c>
      <c r="F17" t="s">
        <v>26</v>
      </c>
      <c r="G17" t="s">
        <v>42</v>
      </c>
      <c r="H17" t="s">
        <v>28</v>
      </c>
      <c r="I17" s="1">
        <v>85</v>
      </c>
      <c r="J17" s="15">
        <v>73</v>
      </c>
      <c r="K17">
        <v>2021</v>
      </c>
      <c r="L17">
        <v>2000</v>
      </c>
      <c r="M17">
        <v>21</v>
      </c>
      <c r="N17" s="2">
        <v>85000000</v>
      </c>
      <c r="O17" t="str">
        <f>VLOOKUP(Tranfer_Data[[#This Row],[Transfer_age]],Table1[],2,TRUE)</f>
        <v>U-22 Prospect</v>
      </c>
    </row>
    <row r="18" spans="1:15" x14ac:dyDescent="0.35">
      <c r="A18">
        <v>17</v>
      </c>
      <c r="B18" t="s">
        <v>66</v>
      </c>
      <c r="C18" t="s">
        <v>67</v>
      </c>
      <c r="D18" t="s">
        <v>26</v>
      </c>
      <c r="E18" t="s">
        <v>68</v>
      </c>
      <c r="F18" t="s">
        <v>26</v>
      </c>
      <c r="G18" t="s">
        <v>27</v>
      </c>
      <c r="H18" t="s">
        <v>61</v>
      </c>
      <c r="I18" s="1">
        <v>85</v>
      </c>
      <c r="J18" s="15">
        <v>75</v>
      </c>
      <c r="K18">
        <v>2018</v>
      </c>
      <c r="L18">
        <v>1991</v>
      </c>
      <c r="M18">
        <v>27</v>
      </c>
      <c r="N18" s="2">
        <v>85000000</v>
      </c>
      <c r="O18" t="str">
        <f>VLOOKUP(Tranfer_Data[[#This Row],[Transfer_age]],Table1[],2,TRUE)</f>
        <v>22-27 Peak</v>
      </c>
    </row>
    <row r="19" spans="1:15" x14ac:dyDescent="0.35">
      <c r="A19">
        <v>18</v>
      </c>
      <c r="B19" t="s">
        <v>69</v>
      </c>
      <c r="C19" t="s">
        <v>70</v>
      </c>
      <c r="D19" t="s">
        <v>26</v>
      </c>
      <c r="E19" t="s">
        <v>27</v>
      </c>
      <c r="F19" t="s">
        <v>16</v>
      </c>
      <c r="G19" t="s">
        <v>17</v>
      </c>
      <c r="H19" t="s">
        <v>58</v>
      </c>
      <c r="I19" s="1">
        <v>82</v>
      </c>
      <c r="J19" s="15">
        <v>65</v>
      </c>
      <c r="K19">
        <v>2014</v>
      </c>
      <c r="L19">
        <v>1987</v>
      </c>
      <c r="M19">
        <v>27</v>
      </c>
      <c r="N19" s="2">
        <v>82000000</v>
      </c>
      <c r="O19" t="str">
        <f>VLOOKUP(Tranfer_Data[[#This Row],[Transfer_age]],Table1[],2,TRUE)</f>
        <v>22-27 Peak</v>
      </c>
    </row>
    <row r="20" spans="1:15" x14ac:dyDescent="0.35">
      <c r="A20">
        <v>19</v>
      </c>
      <c r="B20" t="s">
        <v>16</v>
      </c>
      <c r="C20" t="s">
        <v>71</v>
      </c>
      <c r="D20" t="s">
        <v>16</v>
      </c>
      <c r="E20" t="s">
        <v>72</v>
      </c>
      <c r="F20" t="s">
        <v>26</v>
      </c>
      <c r="G20" t="s">
        <v>54</v>
      </c>
      <c r="H20" t="s">
        <v>73</v>
      </c>
      <c r="I20" s="1">
        <v>80</v>
      </c>
      <c r="J20" s="15">
        <v>71.599999999999994</v>
      </c>
      <c r="K20">
        <v>2018</v>
      </c>
      <c r="L20">
        <v>1994</v>
      </c>
      <c r="M20">
        <v>24</v>
      </c>
      <c r="N20" s="2">
        <v>80000000</v>
      </c>
      <c r="O20" t="str">
        <f>VLOOKUP(Tranfer_Data[[#This Row],[Transfer_age]],Table1[],2,TRUE)</f>
        <v>22-27 Peak</v>
      </c>
    </row>
    <row r="21" spans="1:15" x14ac:dyDescent="0.35">
      <c r="A21">
        <v>20</v>
      </c>
      <c r="B21" t="s">
        <v>74</v>
      </c>
      <c r="C21" t="s">
        <v>75</v>
      </c>
      <c r="D21" t="s">
        <v>18</v>
      </c>
      <c r="E21" t="s">
        <v>76</v>
      </c>
      <c r="F21" t="s">
        <v>26</v>
      </c>
      <c r="G21" t="s">
        <v>77</v>
      </c>
      <c r="H21" t="s">
        <v>20</v>
      </c>
      <c r="I21" s="1">
        <v>80</v>
      </c>
      <c r="J21" s="15">
        <v>72</v>
      </c>
      <c r="K21">
        <v>2019</v>
      </c>
      <c r="L21">
        <v>1995</v>
      </c>
      <c r="M21">
        <v>24</v>
      </c>
      <c r="N21" s="2">
        <v>80000000</v>
      </c>
      <c r="O21" t="str">
        <f>VLOOKUP(Tranfer_Data[[#This Row],[Transfer_age]],Table1[],2,TRUE)</f>
        <v>22-27 Peak</v>
      </c>
    </row>
    <row r="22" spans="1:15" x14ac:dyDescent="0.35">
      <c r="A22">
        <v>21</v>
      </c>
      <c r="B22" t="s">
        <v>18</v>
      </c>
      <c r="C22" t="s">
        <v>78</v>
      </c>
      <c r="D22" t="s">
        <v>16</v>
      </c>
      <c r="E22" t="s">
        <v>33</v>
      </c>
      <c r="F22" t="s">
        <v>44</v>
      </c>
      <c r="G22" t="s">
        <v>79</v>
      </c>
      <c r="H22" t="s">
        <v>61</v>
      </c>
      <c r="I22" s="1">
        <v>80</v>
      </c>
      <c r="J22" s="15">
        <v>68</v>
      </c>
      <c r="K22">
        <v>2019</v>
      </c>
      <c r="L22">
        <v>1996</v>
      </c>
      <c r="M22">
        <v>23</v>
      </c>
      <c r="N22" s="2">
        <v>80000000</v>
      </c>
      <c r="O22" t="str">
        <f>VLOOKUP(Tranfer_Data[[#This Row],[Transfer_age]],Table1[],2,TRUE)</f>
        <v>22-27 Peak</v>
      </c>
    </row>
    <row r="23" spans="1:15" x14ac:dyDescent="0.35">
      <c r="A23">
        <v>22</v>
      </c>
      <c r="B23" t="s">
        <v>52</v>
      </c>
      <c r="C23" t="s">
        <v>62</v>
      </c>
      <c r="D23" t="s">
        <v>26</v>
      </c>
      <c r="E23" t="s">
        <v>42</v>
      </c>
      <c r="F23" t="s">
        <v>40</v>
      </c>
      <c r="G23" t="s">
        <v>80</v>
      </c>
      <c r="H23" t="s">
        <v>58</v>
      </c>
      <c r="I23" s="1">
        <v>80</v>
      </c>
      <c r="J23" s="15">
        <v>74</v>
      </c>
      <c r="K23">
        <v>2019</v>
      </c>
      <c r="L23">
        <v>1993</v>
      </c>
      <c r="M23">
        <v>26</v>
      </c>
      <c r="N23" s="2">
        <v>80000000</v>
      </c>
      <c r="O23" t="str">
        <f>VLOOKUP(Tranfer_Data[[#This Row],[Transfer_age]],Table1[],2,TRUE)</f>
        <v>22-27 Peak</v>
      </c>
    </row>
    <row r="24" spans="1:15" x14ac:dyDescent="0.35">
      <c r="A24">
        <v>23</v>
      </c>
      <c r="B24" t="s">
        <v>44</v>
      </c>
      <c r="C24" t="s">
        <v>81</v>
      </c>
      <c r="D24" t="s">
        <v>44</v>
      </c>
      <c r="E24" t="s">
        <v>82</v>
      </c>
      <c r="F24" t="s">
        <v>26</v>
      </c>
      <c r="G24" t="s">
        <v>54</v>
      </c>
      <c r="H24" t="s">
        <v>28</v>
      </c>
      <c r="I24" s="1">
        <v>77</v>
      </c>
      <c r="J24" s="15">
        <v>70</v>
      </c>
      <c r="K24">
        <v>2020</v>
      </c>
      <c r="L24">
        <v>1999</v>
      </c>
      <c r="M24">
        <v>21</v>
      </c>
      <c r="N24" s="2">
        <v>77000000</v>
      </c>
      <c r="O24" t="str">
        <f>VLOOKUP(Tranfer_Data[[#This Row],[Transfer_age]],Table1[],2,TRUE)</f>
        <v>U-22 Prospect</v>
      </c>
    </row>
    <row r="25" spans="1:15" x14ac:dyDescent="0.35">
      <c r="A25">
        <v>24</v>
      </c>
      <c r="B25" t="s">
        <v>18</v>
      </c>
      <c r="C25" t="s">
        <v>83</v>
      </c>
      <c r="D25" t="s">
        <v>40</v>
      </c>
      <c r="E25" t="s">
        <v>41</v>
      </c>
      <c r="F25" t="s">
        <v>16</v>
      </c>
      <c r="G25" t="s">
        <v>49</v>
      </c>
      <c r="H25" t="s">
        <v>28</v>
      </c>
      <c r="I25" s="1">
        <v>76</v>
      </c>
      <c r="J25" s="15">
        <v>46.6</v>
      </c>
      <c r="K25">
        <v>2001</v>
      </c>
      <c r="L25">
        <v>1972</v>
      </c>
      <c r="M25">
        <v>29</v>
      </c>
      <c r="N25" s="2">
        <v>76000000</v>
      </c>
      <c r="O25" t="str">
        <f>VLOOKUP(Tranfer_Data[[#This Row],[Transfer_age]],Table1[],2,TRUE)</f>
        <v>28+ Veteran</v>
      </c>
    </row>
    <row r="26" spans="1:15" x14ac:dyDescent="0.35">
      <c r="A26">
        <v>25</v>
      </c>
      <c r="B26" t="s">
        <v>55</v>
      </c>
      <c r="C26" t="s">
        <v>84</v>
      </c>
      <c r="D26" t="s">
        <v>16</v>
      </c>
      <c r="E26" t="s">
        <v>49</v>
      </c>
      <c r="F26" t="s">
        <v>26</v>
      </c>
      <c r="G26" t="s">
        <v>42</v>
      </c>
      <c r="H26" t="s">
        <v>28</v>
      </c>
      <c r="I26" s="1">
        <v>76</v>
      </c>
      <c r="J26" s="15">
        <v>59.7</v>
      </c>
      <c r="K26">
        <v>2014</v>
      </c>
      <c r="L26">
        <v>1988</v>
      </c>
      <c r="M26">
        <v>26</v>
      </c>
      <c r="N26" s="2">
        <v>76000000</v>
      </c>
      <c r="O26" t="str">
        <f>VLOOKUP(Tranfer_Data[[#This Row],[Transfer_age]],Table1[],2,TRUE)</f>
        <v>22-27 Peak</v>
      </c>
    </row>
    <row r="27" spans="1:15" x14ac:dyDescent="0.35">
      <c r="A27">
        <v>26</v>
      </c>
      <c r="B27" t="s">
        <v>66</v>
      </c>
      <c r="C27" t="s">
        <v>85</v>
      </c>
      <c r="D27" t="s">
        <v>66</v>
      </c>
      <c r="E27" t="s">
        <v>86</v>
      </c>
      <c r="F27" t="s">
        <v>40</v>
      </c>
      <c r="G27" t="s">
        <v>41</v>
      </c>
      <c r="H27" t="s">
        <v>61</v>
      </c>
      <c r="I27" s="1">
        <v>75</v>
      </c>
      <c r="J27" s="15">
        <v>67.5</v>
      </c>
      <c r="K27">
        <v>2019</v>
      </c>
      <c r="L27">
        <v>1999</v>
      </c>
      <c r="M27">
        <v>20</v>
      </c>
      <c r="N27" s="2">
        <v>75000000</v>
      </c>
      <c r="O27" t="str">
        <f>VLOOKUP(Tranfer_Data[[#This Row],[Transfer_age]],Table1[],2,TRUE)</f>
        <v>U-22 Prospect</v>
      </c>
    </row>
    <row r="28" spans="1:15" x14ac:dyDescent="0.35">
      <c r="A28">
        <v>27</v>
      </c>
      <c r="B28" t="s">
        <v>66</v>
      </c>
      <c r="C28" t="s">
        <v>87</v>
      </c>
      <c r="D28" t="s">
        <v>66</v>
      </c>
      <c r="E28" t="s">
        <v>86</v>
      </c>
      <c r="F28" t="s">
        <v>16</v>
      </c>
      <c r="G28" t="s">
        <v>17</v>
      </c>
      <c r="H28" t="s">
        <v>28</v>
      </c>
      <c r="I28" s="1">
        <v>75</v>
      </c>
      <c r="J28" s="15">
        <v>65</v>
      </c>
      <c r="K28">
        <v>2019</v>
      </c>
      <c r="L28">
        <v>1997</v>
      </c>
      <c r="M28">
        <v>22</v>
      </c>
      <c r="N28" s="2">
        <v>75000000</v>
      </c>
      <c r="O28" t="str">
        <f>VLOOKUP(Tranfer_Data[[#This Row],[Transfer_age]],Table1[],2,TRUE)</f>
        <v>22-27 Peak</v>
      </c>
    </row>
    <row r="29" spans="1:15" x14ac:dyDescent="0.35">
      <c r="A29">
        <v>28</v>
      </c>
      <c r="B29" t="s">
        <v>88</v>
      </c>
      <c r="C29" t="s">
        <v>89</v>
      </c>
      <c r="D29" t="s">
        <v>18</v>
      </c>
      <c r="E29" t="s">
        <v>23</v>
      </c>
      <c r="F29" t="s">
        <v>16</v>
      </c>
      <c r="G29" t="s">
        <v>49</v>
      </c>
      <c r="H29" t="s">
        <v>28</v>
      </c>
      <c r="I29" s="1">
        <v>75</v>
      </c>
      <c r="J29" s="15">
        <v>63</v>
      </c>
      <c r="K29">
        <v>2014</v>
      </c>
      <c r="L29">
        <v>1991</v>
      </c>
      <c r="M29">
        <v>23</v>
      </c>
      <c r="N29" s="2">
        <v>75000000</v>
      </c>
      <c r="O29" t="str">
        <f>VLOOKUP(Tranfer_Data[[#This Row],[Transfer_age]],Table1[],2,TRUE)</f>
        <v>22-27 Peak</v>
      </c>
    </row>
    <row r="30" spans="1:15" x14ac:dyDescent="0.35">
      <c r="A30">
        <v>29</v>
      </c>
      <c r="B30" t="s">
        <v>52</v>
      </c>
      <c r="C30" t="s">
        <v>90</v>
      </c>
      <c r="D30" t="s">
        <v>44</v>
      </c>
      <c r="E30" t="s">
        <v>91</v>
      </c>
      <c r="F30" t="s">
        <v>26</v>
      </c>
      <c r="G30" t="s">
        <v>37</v>
      </c>
      <c r="H30" t="s">
        <v>28</v>
      </c>
      <c r="I30" s="1">
        <v>75</v>
      </c>
      <c r="J30" s="15">
        <v>55</v>
      </c>
      <c r="K30">
        <v>2015</v>
      </c>
      <c r="L30">
        <v>1991</v>
      </c>
      <c r="M30">
        <v>24</v>
      </c>
      <c r="N30" s="2">
        <v>75000000</v>
      </c>
      <c r="O30" t="str">
        <f>VLOOKUP(Tranfer_Data[[#This Row],[Transfer_age]],Table1[],2,TRUE)</f>
        <v>22-27 Peak</v>
      </c>
    </row>
    <row r="31" spans="1:15" x14ac:dyDescent="0.35">
      <c r="A31">
        <v>30</v>
      </c>
      <c r="B31" t="s">
        <v>14</v>
      </c>
      <c r="C31" t="s">
        <v>92</v>
      </c>
      <c r="D31" t="s">
        <v>16</v>
      </c>
      <c r="E31" t="s">
        <v>17</v>
      </c>
      <c r="F31" t="s">
        <v>40</v>
      </c>
      <c r="G31" t="s">
        <v>41</v>
      </c>
      <c r="H31" t="s">
        <v>28</v>
      </c>
      <c r="I31" s="1">
        <v>72</v>
      </c>
      <c r="J31" s="15">
        <v>66</v>
      </c>
      <c r="K31">
        <v>2020</v>
      </c>
      <c r="L31">
        <v>1996</v>
      </c>
      <c r="M31">
        <v>24</v>
      </c>
      <c r="N31" s="2">
        <v>72000000</v>
      </c>
      <c r="O31" t="str">
        <f>VLOOKUP(Tranfer_Data[[#This Row],[Transfer_age]],Table1[],2,TRUE)</f>
        <v>22-27 Peak</v>
      </c>
    </row>
    <row r="32" spans="1:15" x14ac:dyDescent="0.35">
      <c r="A32">
        <v>31</v>
      </c>
      <c r="B32" t="s">
        <v>16</v>
      </c>
      <c r="C32" t="s">
        <v>93</v>
      </c>
      <c r="D32" t="s">
        <v>16</v>
      </c>
      <c r="E32" t="s">
        <v>33</v>
      </c>
      <c r="F32" t="s">
        <v>26</v>
      </c>
      <c r="G32" t="s">
        <v>37</v>
      </c>
      <c r="H32" t="s">
        <v>28</v>
      </c>
      <c r="I32" s="1">
        <v>70</v>
      </c>
      <c r="J32" s="15">
        <v>63</v>
      </c>
      <c r="K32">
        <v>2019</v>
      </c>
      <c r="L32">
        <v>1996</v>
      </c>
      <c r="M32">
        <v>23</v>
      </c>
      <c r="N32" s="2">
        <v>70000000</v>
      </c>
      <c r="O32" t="str">
        <f>VLOOKUP(Tranfer_Data[[#This Row],[Transfer_age]],Table1[],2,TRUE)</f>
        <v>22-27 Peak</v>
      </c>
    </row>
    <row r="33" spans="1:15" x14ac:dyDescent="0.35">
      <c r="A33">
        <v>32</v>
      </c>
      <c r="B33" t="s">
        <v>94</v>
      </c>
      <c r="C33" t="s">
        <v>95</v>
      </c>
      <c r="D33" t="s">
        <v>18</v>
      </c>
      <c r="E33" t="s">
        <v>76</v>
      </c>
      <c r="F33" t="s">
        <v>40</v>
      </c>
      <c r="G33" t="s">
        <v>57</v>
      </c>
      <c r="H33" t="s">
        <v>20</v>
      </c>
      <c r="I33" s="1">
        <v>70</v>
      </c>
      <c r="J33" s="15">
        <v>65</v>
      </c>
      <c r="K33">
        <v>2020</v>
      </c>
      <c r="L33">
        <v>1998</v>
      </c>
      <c r="M33">
        <v>22</v>
      </c>
      <c r="N33" s="2">
        <v>70000000</v>
      </c>
      <c r="O33" t="str">
        <f>VLOOKUP(Tranfer_Data[[#This Row],[Transfer_age]],Table1[],2,TRUE)</f>
        <v>22-27 Peak</v>
      </c>
    </row>
    <row r="34" spans="1:15" x14ac:dyDescent="0.35">
      <c r="A34">
        <v>33</v>
      </c>
      <c r="B34" t="s">
        <v>18</v>
      </c>
      <c r="C34" t="s">
        <v>96</v>
      </c>
      <c r="D34" t="s">
        <v>18</v>
      </c>
      <c r="E34" t="s">
        <v>23</v>
      </c>
      <c r="F34" t="s">
        <v>16</v>
      </c>
      <c r="G34" t="s">
        <v>33</v>
      </c>
      <c r="H34" t="s">
        <v>28</v>
      </c>
      <c r="I34" s="1">
        <v>70</v>
      </c>
      <c r="J34" s="15">
        <v>63</v>
      </c>
      <c r="K34">
        <v>2018</v>
      </c>
      <c r="L34">
        <v>1995</v>
      </c>
      <c r="M34">
        <v>23</v>
      </c>
      <c r="N34" s="2">
        <v>70000000</v>
      </c>
      <c r="O34" t="str">
        <f>VLOOKUP(Tranfer_Data[[#This Row],[Transfer_age]],Table1[],2,TRUE)</f>
        <v>22-27 Peak</v>
      </c>
    </row>
    <row r="35" spans="1:15" x14ac:dyDescent="0.35">
      <c r="A35">
        <v>34</v>
      </c>
      <c r="B35" t="s">
        <v>97</v>
      </c>
      <c r="C35" t="s">
        <v>98</v>
      </c>
      <c r="D35" t="s">
        <v>40</v>
      </c>
      <c r="E35" t="s">
        <v>80</v>
      </c>
      <c r="F35" t="s">
        <v>16</v>
      </c>
      <c r="G35" t="s">
        <v>17</v>
      </c>
      <c r="H35" t="s">
        <v>58</v>
      </c>
      <c r="I35" s="1">
        <v>70</v>
      </c>
      <c r="J35" s="15">
        <v>56</v>
      </c>
      <c r="K35">
        <v>2009</v>
      </c>
      <c r="L35">
        <v>1981</v>
      </c>
      <c r="M35">
        <v>28</v>
      </c>
      <c r="N35" s="2">
        <v>70000000</v>
      </c>
      <c r="O35" t="str">
        <f>VLOOKUP(Tranfer_Data[[#This Row],[Transfer_age]],Table1[],2,TRUE)</f>
        <v>28+ Veteran</v>
      </c>
    </row>
    <row r="36" spans="1:15" x14ac:dyDescent="0.35">
      <c r="A36">
        <v>35</v>
      </c>
      <c r="B36" t="s">
        <v>30</v>
      </c>
      <c r="C36" t="s">
        <v>99</v>
      </c>
      <c r="D36" t="s">
        <v>30</v>
      </c>
      <c r="E36" t="s">
        <v>32</v>
      </c>
      <c r="F36" t="s">
        <v>26</v>
      </c>
      <c r="G36" t="s">
        <v>37</v>
      </c>
      <c r="H36" t="s">
        <v>61</v>
      </c>
      <c r="I36" s="1">
        <v>68</v>
      </c>
      <c r="J36" s="15">
        <v>61.64</v>
      </c>
      <c r="K36">
        <v>2020</v>
      </c>
      <c r="L36">
        <v>1997</v>
      </c>
      <c r="M36">
        <v>23</v>
      </c>
      <c r="N36" s="2">
        <v>68000000</v>
      </c>
      <c r="O36" t="str">
        <f>VLOOKUP(Tranfer_Data[[#This Row],[Transfer_age]],Table1[],2,TRUE)</f>
        <v>22-27 Peak</v>
      </c>
    </row>
    <row r="37" spans="1:15" x14ac:dyDescent="0.35">
      <c r="A37">
        <v>36</v>
      </c>
      <c r="B37" t="s">
        <v>100</v>
      </c>
      <c r="C37" t="s">
        <v>101</v>
      </c>
      <c r="D37" t="s">
        <v>26</v>
      </c>
      <c r="E37" t="s">
        <v>60</v>
      </c>
      <c r="F37" t="s">
        <v>26</v>
      </c>
      <c r="G37" t="s">
        <v>37</v>
      </c>
      <c r="H37" t="s">
        <v>20</v>
      </c>
      <c r="I37" s="1">
        <v>68</v>
      </c>
      <c r="J37" s="15">
        <v>60</v>
      </c>
      <c r="K37">
        <v>2018</v>
      </c>
      <c r="L37">
        <v>1991</v>
      </c>
      <c r="M37">
        <v>27</v>
      </c>
      <c r="N37" s="2">
        <v>68000000</v>
      </c>
      <c r="O37" t="str">
        <f>VLOOKUP(Tranfer_Data[[#This Row],[Transfer_age]],Table1[],2,TRUE)</f>
        <v>22-27 Peak</v>
      </c>
    </row>
    <row r="38" spans="1:15" x14ac:dyDescent="0.35">
      <c r="A38">
        <v>37</v>
      </c>
      <c r="B38" t="s">
        <v>14</v>
      </c>
      <c r="C38" t="s">
        <v>102</v>
      </c>
      <c r="D38" t="s">
        <v>40</v>
      </c>
      <c r="E38" t="s">
        <v>103</v>
      </c>
      <c r="F38" t="s">
        <v>16</v>
      </c>
      <c r="G38" t="s">
        <v>49</v>
      </c>
      <c r="H38" t="s">
        <v>28</v>
      </c>
      <c r="I38" s="1">
        <v>67</v>
      </c>
      <c r="J38" s="15">
        <v>56</v>
      </c>
      <c r="K38">
        <v>2009</v>
      </c>
      <c r="L38">
        <v>1982</v>
      </c>
      <c r="M38">
        <v>27</v>
      </c>
      <c r="N38" s="2">
        <v>67000000</v>
      </c>
      <c r="O38" t="str">
        <f>VLOOKUP(Tranfer_Data[[#This Row],[Transfer_age]],Table1[],2,TRUE)</f>
        <v>22-27 Peak</v>
      </c>
    </row>
    <row r="39" spans="1:15" x14ac:dyDescent="0.35">
      <c r="A39">
        <v>38</v>
      </c>
      <c r="B39" t="s">
        <v>16</v>
      </c>
      <c r="C39" t="s">
        <v>104</v>
      </c>
      <c r="D39" t="s">
        <v>16</v>
      </c>
      <c r="E39" t="s">
        <v>49</v>
      </c>
      <c r="F39" t="s">
        <v>26</v>
      </c>
      <c r="G39" t="s">
        <v>54</v>
      </c>
      <c r="H39" t="s">
        <v>58</v>
      </c>
      <c r="I39" s="1">
        <v>66</v>
      </c>
      <c r="J39" s="15">
        <v>58</v>
      </c>
      <c r="K39">
        <v>2017</v>
      </c>
      <c r="L39">
        <v>1992</v>
      </c>
      <c r="M39">
        <v>25</v>
      </c>
      <c r="N39" s="2">
        <v>66000000</v>
      </c>
      <c r="O39" t="str">
        <f>VLOOKUP(Tranfer_Data[[#This Row],[Transfer_age]],Table1[],2,TRUE)</f>
        <v>22-27 Peak</v>
      </c>
    </row>
    <row r="40" spans="1:15" x14ac:dyDescent="0.35">
      <c r="A40">
        <v>39</v>
      </c>
      <c r="B40" t="s">
        <v>18</v>
      </c>
      <c r="C40" t="s">
        <v>105</v>
      </c>
      <c r="D40" t="s">
        <v>16</v>
      </c>
      <c r="E40" t="s">
        <v>72</v>
      </c>
      <c r="F40" t="s">
        <v>26</v>
      </c>
      <c r="G40" t="s">
        <v>37</v>
      </c>
      <c r="H40" t="s">
        <v>61</v>
      </c>
      <c r="I40" s="1">
        <v>65</v>
      </c>
      <c r="J40" s="15">
        <v>57</v>
      </c>
      <c r="K40">
        <v>2018</v>
      </c>
      <c r="L40">
        <v>1994</v>
      </c>
      <c r="M40">
        <v>24</v>
      </c>
      <c r="N40" s="2">
        <v>65000000</v>
      </c>
      <c r="O40" t="str">
        <f>VLOOKUP(Tranfer_Data[[#This Row],[Transfer_age]],Table1[],2,TRUE)</f>
        <v>22-27 Peak</v>
      </c>
    </row>
    <row r="41" spans="1:15" x14ac:dyDescent="0.35">
      <c r="A41">
        <v>40</v>
      </c>
      <c r="B41" t="s">
        <v>30</v>
      </c>
      <c r="C41" t="s">
        <v>106</v>
      </c>
      <c r="D41" t="s">
        <v>40</v>
      </c>
      <c r="E41" t="s">
        <v>41</v>
      </c>
      <c r="F41" t="s">
        <v>26</v>
      </c>
      <c r="G41" t="s">
        <v>37</v>
      </c>
      <c r="H41" t="s">
        <v>61</v>
      </c>
      <c r="I41" s="1">
        <v>65</v>
      </c>
      <c r="J41" s="15">
        <v>60</v>
      </c>
      <c r="K41">
        <v>2019</v>
      </c>
      <c r="L41">
        <v>1994</v>
      </c>
      <c r="M41">
        <v>25</v>
      </c>
      <c r="N41" s="2">
        <v>65000000</v>
      </c>
      <c r="O41" t="str">
        <f>VLOOKUP(Tranfer_Data[[#This Row],[Transfer_age]],Table1[],2,TRUE)</f>
        <v>22-27 Peak</v>
      </c>
    </row>
    <row r="42" spans="1:15" x14ac:dyDescent="0.35">
      <c r="A42">
        <v>41</v>
      </c>
      <c r="B42" t="s">
        <v>69</v>
      </c>
      <c r="C42" t="s">
        <v>107</v>
      </c>
      <c r="D42" t="s">
        <v>40</v>
      </c>
      <c r="E42" t="s">
        <v>57</v>
      </c>
      <c r="F42" t="s">
        <v>18</v>
      </c>
      <c r="G42" t="s">
        <v>19</v>
      </c>
      <c r="H42" t="s">
        <v>58</v>
      </c>
      <c r="I42" s="1">
        <v>65</v>
      </c>
      <c r="J42" s="15">
        <v>55</v>
      </c>
      <c r="K42">
        <v>2013</v>
      </c>
      <c r="L42">
        <v>1987</v>
      </c>
      <c r="M42">
        <v>26</v>
      </c>
      <c r="N42" s="2">
        <v>65000000</v>
      </c>
      <c r="O42" t="str">
        <f>VLOOKUP(Tranfer_Data[[#This Row],[Transfer_age]],Table1[],2,TRUE)</f>
        <v>22-27 Peak</v>
      </c>
    </row>
    <row r="43" spans="1:15" x14ac:dyDescent="0.35">
      <c r="A43">
        <v>42</v>
      </c>
      <c r="B43" t="s">
        <v>108</v>
      </c>
      <c r="C43" t="s">
        <v>109</v>
      </c>
      <c r="D43" t="s">
        <v>44</v>
      </c>
      <c r="E43" t="s">
        <v>45</v>
      </c>
      <c r="F43" t="s">
        <v>26</v>
      </c>
      <c r="G43" t="s">
        <v>54</v>
      </c>
      <c r="H43" t="s">
        <v>20</v>
      </c>
      <c r="I43" s="1">
        <v>64</v>
      </c>
      <c r="J43" s="15">
        <v>58</v>
      </c>
      <c r="K43">
        <v>2019</v>
      </c>
      <c r="L43">
        <v>1998</v>
      </c>
      <c r="M43">
        <v>21</v>
      </c>
      <c r="N43" s="2">
        <v>64000000</v>
      </c>
      <c r="O43" t="str">
        <f>VLOOKUP(Tranfer_Data[[#This Row],[Transfer_age]],Table1[],2,TRUE)</f>
        <v>U-22 Prospect</v>
      </c>
    </row>
    <row r="44" spans="1:15" x14ac:dyDescent="0.35">
      <c r="A44">
        <v>42</v>
      </c>
      <c r="B44" t="s">
        <v>55</v>
      </c>
      <c r="C44" t="s">
        <v>84</v>
      </c>
      <c r="D44" t="s">
        <v>26</v>
      </c>
      <c r="E44" t="s">
        <v>42</v>
      </c>
      <c r="F44" t="s">
        <v>18</v>
      </c>
      <c r="G44" t="s">
        <v>19</v>
      </c>
      <c r="H44" t="s">
        <v>28</v>
      </c>
      <c r="I44" s="1">
        <v>64</v>
      </c>
      <c r="J44" s="15">
        <v>44</v>
      </c>
      <c r="K44">
        <v>2015</v>
      </c>
      <c r="L44">
        <v>1988</v>
      </c>
      <c r="M44">
        <v>27</v>
      </c>
      <c r="N44" s="2">
        <v>64000000</v>
      </c>
      <c r="O44" t="str">
        <f>VLOOKUP(Tranfer_Data[[#This Row],[Transfer_age]],Table1[],2,TRUE)</f>
        <v>22-27 Peak</v>
      </c>
    </row>
    <row r="45" spans="1:15" x14ac:dyDescent="0.35">
      <c r="A45">
        <v>44</v>
      </c>
      <c r="B45" t="s">
        <v>110</v>
      </c>
      <c r="C45" t="s">
        <v>111</v>
      </c>
      <c r="D45" t="s">
        <v>44</v>
      </c>
      <c r="E45" t="s">
        <v>45</v>
      </c>
      <c r="F45" t="s">
        <v>26</v>
      </c>
      <c r="G45" t="s">
        <v>77</v>
      </c>
      <c r="H45" t="s">
        <v>58</v>
      </c>
      <c r="I45" s="1">
        <v>64</v>
      </c>
      <c r="J45" s="15">
        <v>56.1</v>
      </c>
      <c r="K45">
        <v>2018</v>
      </c>
      <c r="L45">
        <v>1989</v>
      </c>
      <c r="M45">
        <v>29</v>
      </c>
      <c r="N45" s="2">
        <v>64000000</v>
      </c>
      <c r="O45" t="str">
        <f>VLOOKUP(Tranfer_Data[[#This Row],[Transfer_age]],Table1[],2,TRUE)</f>
        <v>28+ Veteran</v>
      </c>
    </row>
    <row r="46" spans="1:15" x14ac:dyDescent="0.35">
      <c r="A46">
        <v>45</v>
      </c>
      <c r="B46" t="s">
        <v>26</v>
      </c>
      <c r="C46" t="s">
        <v>112</v>
      </c>
      <c r="D46" t="s">
        <v>26</v>
      </c>
      <c r="E46" t="s">
        <v>27</v>
      </c>
      <c r="F46" t="s">
        <v>26</v>
      </c>
      <c r="G46" t="s">
        <v>37</v>
      </c>
      <c r="H46" t="s">
        <v>20</v>
      </c>
      <c r="I46" s="1">
        <v>63</v>
      </c>
      <c r="J46" s="15">
        <v>44</v>
      </c>
      <c r="K46">
        <v>2015</v>
      </c>
      <c r="L46">
        <v>1994</v>
      </c>
      <c r="M46">
        <v>21</v>
      </c>
      <c r="N46" s="2">
        <v>63000000</v>
      </c>
      <c r="O46" t="str">
        <f>VLOOKUP(Tranfer_Data[[#This Row],[Transfer_age]],Table1[],2,TRUE)</f>
        <v>U-22 Prospect</v>
      </c>
    </row>
    <row r="47" spans="1:15" x14ac:dyDescent="0.35">
      <c r="A47">
        <v>45</v>
      </c>
      <c r="B47" t="s">
        <v>14</v>
      </c>
      <c r="C47" t="s">
        <v>113</v>
      </c>
      <c r="D47" t="s">
        <v>40</v>
      </c>
      <c r="E47" t="s">
        <v>114</v>
      </c>
      <c r="F47" t="s">
        <v>26</v>
      </c>
      <c r="G47" t="s">
        <v>27</v>
      </c>
      <c r="H47" t="s">
        <v>73</v>
      </c>
      <c r="I47" s="1">
        <v>63</v>
      </c>
      <c r="J47" s="15">
        <v>56</v>
      </c>
      <c r="K47">
        <v>2018</v>
      </c>
      <c r="L47">
        <v>1992</v>
      </c>
      <c r="M47">
        <v>26</v>
      </c>
      <c r="N47" s="2">
        <v>63000000</v>
      </c>
      <c r="O47" t="str">
        <f>VLOOKUP(Tranfer_Data[[#This Row],[Transfer_age]],Table1[],2,TRUE)</f>
        <v>22-27 Peak</v>
      </c>
    </row>
    <row r="48" spans="1:15" x14ac:dyDescent="0.35">
      <c r="A48">
        <v>47</v>
      </c>
      <c r="B48" t="s">
        <v>30</v>
      </c>
      <c r="C48" t="s">
        <v>115</v>
      </c>
      <c r="D48" t="s">
        <v>16</v>
      </c>
      <c r="E48" t="s">
        <v>17</v>
      </c>
      <c r="F48" t="s">
        <v>16</v>
      </c>
      <c r="G48" t="s">
        <v>49</v>
      </c>
      <c r="H48" t="s">
        <v>28</v>
      </c>
      <c r="I48" s="1">
        <v>62</v>
      </c>
      <c r="J48" s="15">
        <v>37</v>
      </c>
      <c r="K48">
        <v>2000</v>
      </c>
      <c r="L48">
        <v>1972</v>
      </c>
      <c r="M48">
        <v>28</v>
      </c>
      <c r="N48" s="2">
        <v>62000000</v>
      </c>
      <c r="O48" t="str">
        <f>VLOOKUP(Tranfer_Data[[#This Row],[Transfer_age]],Table1[],2,TRUE)</f>
        <v>28+ Veteran</v>
      </c>
    </row>
    <row r="49" spans="1:15" x14ac:dyDescent="0.35">
      <c r="A49">
        <v>48</v>
      </c>
      <c r="B49" t="s">
        <v>14</v>
      </c>
      <c r="C49" t="s">
        <v>116</v>
      </c>
      <c r="D49" t="s">
        <v>26</v>
      </c>
      <c r="E49" t="s">
        <v>54</v>
      </c>
      <c r="F49" t="s">
        <v>117</v>
      </c>
      <c r="G49" t="s">
        <v>118</v>
      </c>
      <c r="H49" t="s">
        <v>28</v>
      </c>
      <c r="I49" s="1">
        <v>61</v>
      </c>
      <c r="J49" s="15">
        <v>52</v>
      </c>
      <c r="K49">
        <v>2017</v>
      </c>
      <c r="L49">
        <v>1991</v>
      </c>
      <c r="M49">
        <v>26</v>
      </c>
      <c r="N49" s="2">
        <v>61000000</v>
      </c>
      <c r="O49" t="str">
        <f>VLOOKUP(Tranfer_Data[[#This Row],[Transfer_age]],Table1[],2,TRUE)</f>
        <v>22-27 Peak</v>
      </c>
    </row>
    <row r="50" spans="1:15" x14ac:dyDescent="0.35">
      <c r="A50">
        <v>49</v>
      </c>
      <c r="B50" t="s">
        <v>119</v>
      </c>
      <c r="C50" t="s">
        <v>120</v>
      </c>
      <c r="D50" t="s">
        <v>44</v>
      </c>
      <c r="E50" t="s">
        <v>121</v>
      </c>
      <c r="F50" t="s">
        <v>16</v>
      </c>
      <c r="G50" t="s">
        <v>49</v>
      </c>
      <c r="H50" t="s">
        <v>58</v>
      </c>
      <c r="I50" s="1">
        <v>60</v>
      </c>
      <c r="J50" s="15">
        <v>52.4</v>
      </c>
      <c r="K50">
        <v>2019</v>
      </c>
      <c r="L50">
        <v>1997</v>
      </c>
      <c r="M50">
        <v>22</v>
      </c>
      <c r="N50" s="2">
        <v>60000000</v>
      </c>
      <c r="O50" t="str">
        <f>VLOOKUP(Tranfer_Data[[#This Row],[Transfer_age]],Table1[],2,TRUE)</f>
        <v>22-27 Peak</v>
      </c>
    </row>
    <row r="51" spans="1:15" x14ac:dyDescent="0.35">
      <c r="A51">
        <v>50</v>
      </c>
      <c r="B51" t="s">
        <v>122</v>
      </c>
      <c r="C51" t="s">
        <v>123</v>
      </c>
      <c r="D51" t="s">
        <v>40</v>
      </c>
      <c r="E51" t="s">
        <v>80</v>
      </c>
      <c r="F51" t="s">
        <v>18</v>
      </c>
      <c r="G51" t="s">
        <v>19</v>
      </c>
      <c r="H51" t="s">
        <v>61</v>
      </c>
      <c r="I51" s="1">
        <v>60</v>
      </c>
      <c r="J51" s="15">
        <v>51.3</v>
      </c>
      <c r="K51">
        <v>2021</v>
      </c>
      <c r="L51">
        <v>1998</v>
      </c>
      <c r="M51">
        <v>23</v>
      </c>
      <c r="N51" s="2">
        <v>60000000</v>
      </c>
      <c r="O51" t="str">
        <f>VLOOKUP(Tranfer_Data[[#This Row],[Transfer_age]],Table1[],2,TRUE)</f>
        <v>22-27 Peak</v>
      </c>
    </row>
    <row r="52" spans="1:15" x14ac:dyDescent="0.35">
      <c r="A52">
        <v>51</v>
      </c>
      <c r="B52" t="s">
        <v>124</v>
      </c>
      <c r="C52" t="s">
        <v>125</v>
      </c>
      <c r="D52" t="s">
        <v>44</v>
      </c>
      <c r="E52" t="s">
        <v>126</v>
      </c>
      <c r="F52" t="s">
        <v>26</v>
      </c>
      <c r="G52" t="s">
        <v>27</v>
      </c>
      <c r="H52" t="s">
        <v>28</v>
      </c>
      <c r="I52" s="1">
        <v>60</v>
      </c>
      <c r="J52" s="15">
        <v>52.75</v>
      </c>
      <c r="K52">
        <v>2018</v>
      </c>
      <c r="L52">
        <v>1995</v>
      </c>
      <c r="M52">
        <v>23</v>
      </c>
      <c r="N52" s="2">
        <v>60000000</v>
      </c>
      <c r="O52" t="str">
        <f>VLOOKUP(Tranfer_Data[[#This Row],[Transfer_age]],Table1[],2,TRUE)</f>
        <v>22-27 Peak</v>
      </c>
    </row>
    <row r="53" spans="1:15" x14ac:dyDescent="0.35">
      <c r="A53">
        <v>52</v>
      </c>
      <c r="B53" t="s">
        <v>18</v>
      </c>
      <c r="C53" t="s">
        <v>127</v>
      </c>
      <c r="D53" t="s">
        <v>18</v>
      </c>
      <c r="E53" t="s">
        <v>128</v>
      </c>
      <c r="F53" t="s">
        <v>26</v>
      </c>
      <c r="G53" t="s">
        <v>48</v>
      </c>
      <c r="H53" t="s">
        <v>28</v>
      </c>
      <c r="I53" s="1">
        <v>60</v>
      </c>
      <c r="J53" s="15">
        <v>53.8</v>
      </c>
      <c r="K53">
        <v>2019</v>
      </c>
      <c r="L53">
        <v>1996</v>
      </c>
      <c r="M53">
        <v>23</v>
      </c>
      <c r="N53" s="2">
        <v>60000000</v>
      </c>
      <c r="O53" t="str">
        <f>VLOOKUP(Tranfer_Data[[#This Row],[Transfer_age]],Table1[],2,TRUE)</f>
        <v>22-27 Peak</v>
      </c>
    </row>
    <row r="54" spans="1:15" x14ac:dyDescent="0.35">
      <c r="A54">
        <v>53</v>
      </c>
      <c r="B54" t="s">
        <v>88</v>
      </c>
      <c r="C54" t="s">
        <v>129</v>
      </c>
      <c r="D54" t="s">
        <v>16</v>
      </c>
      <c r="E54" t="s">
        <v>33</v>
      </c>
      <c r="F54" t="s">
        <v>18</v>
      </c>
      <c r="G54" t="s">
        <v>23</v>
      </c>
      <c r="H54" t="s">
        <v>58</v>
      </c>
      <c r="I54" s="1">
        <v>60</v>
      </c>
      <c r="J54" s="15">
        <v>51</v>
      </c>
      <c r="K54">
        <v>2013</v>
      </c>
      <c r="L54">
        <v>1986</v>
      </c>
      <c r="M54">
        <v>27</v>
      </c>
      <c r="N54" s="2">
        <v>60000000</v>
      </c>
      <c r="O54" t="str">
        <f>VLOOKUP(Tranfer_Data[[#This Row],[Transfer_age]],Table1[],2,TRUE)</f>
        <v>22-27 Peak</v>
      </c>
    </row>
    <row r="55" spans="1:15" x14ac:dyDescent="0.35">
      <c r="A55">
        <v>54</v>
      </c>
      <c r="B55" t="s">
        <v>130</v>
      </c>
      <c r="C55" t="s">
        <v>131</v>
      </c>
      <c r="D55" t="s">
        <v>40</v>
      </c>
      <c r="E55" t="s">
        <v>41</v>
      </c>
      <c r="F55" t="s">
        <v>16</v>
      </c>
      <c r="G55" t="s">
        <v>17</v>
      </c>
      <c r="H55" t="s">
        <v>28</v>
      </c>
      <c r="I55" s="1">
        <v>60</v>
      </c>
      <c r="J55" s="15">
        <v>54.8</v>
      </c>
      <c r="K55">
        <v>2020</v>
      </c>
      <c r="L55">
        <v>1990</v>
      </c>
      <c r="M55">
        <v>30</v>
      </c>
      <c r="N55" s="2">
        <v>60000000</v>
      </c>
      <c r="O55" t="str">
        <f>VLOOKUP(Tranfer_Data[[#This Row],[Transfer_age]],Table1[],2,TRUE)</f>
        <v>28+ Veteran</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1EED4-47F8-45B1-B64F-BBB25920178F}">
  <dimension ref="A1:I23"/>
  <sheetViews>
    <sheetView workbookViewId="0">
      <selection activeCell="K18" sqref="K18"/>
    </sheetView>
  </sheetViews>
  <sheetFormatPr defaultRowHeight="14.5" x14ac:dyDescent="0.35"/>
  <cols>
    <col min="1" max="1" width="13.453125" bestFit="1" customWidth="1"/>
    <col min="2" max="2" width="19.90625" bestFit="1" customWidth="1"/>
    <col min="3" max="3" width="20.453125" bestFit="1" customWidth="1"/>
    <col min="5" max="5" width="12.453125" bestFit="1" customWidth="1"/>
    <col min="6" max="6" width="19.90625" bestFit="1" customWidth="1"/>
    <col min="8" max="8" width="12.453125" bestFit="1" customWidth="1"/>
    <col min="9" max="9" width="20.453125" bestFit="1" customWidth="1"/>
  </cols>
  <sheetData>
    <row r="1" spans="1:9" x14ac:dyDescent="0.35">
      <c r="A1" s="5" t="s">
        <v>133</v>
      </c>
      <c r="B1" t="s">
        <v>136</v>
      </c>
      <c r="C1" t="s">
        <v>135</v>
      </c>
      <c r="E1" s="5" t="s">
        <v>133</v>
      </c>
      <c r="F1" t="s">
        <v>137</v>
      </c>
      <c r="H1" s="5" t="s">
        <v>133</v>
      </c>
      <c r="I1" t="s">
        <v>136</v>
      </c>
    </row>
    <row r="2" spans="1:9" x14ac:dyDescent="0.35">
      <c r="A2" s="6" t="s">
        <v>61</v>
      </c>
      <c r="B2">
        <v>73.125</v>
      </c>
      <c r="C2">
        <v>8</v>
      </c>
      <c r="E2" s="6" t="s">
        <v>117</v>
      </c>
      <c r="F2">
        <v>61000000</v>
      </c>
      <c r="H2" s="6">
        <v>2000</v>
      </c>
      <c r="I2">
        <v>62</v>
      </c>
    </row>
    <row r="3" spans="1:9" x14ac:dyDescent="0.35">
      <c r="A3" s="6" t="s">
        <v>20</v>
      </c>
      <c r="B3">
        <v>106.57142857142857</v>
      </c>
      <c r="C3">
        <v>14</v>
      </c>
      <c r="E3" s="6" t="s">
        <v>26</v>
      </c>
      <c r="F3">
        <v>1728000000</v>
      </c>
      <c r="H3" s="6">
        <v>2001</v>
      </c>
      <c r="I3">
        <v>76</v>
      </c>
    </row>
    <row r="4" spans="1:9" x14ac:dyDescent="0.35">
      <c r="A4" s="6" t="s">
        <v>73</v>
      </c>
      <c r="B4">
        <v>71.5</v>
      </c>
      <c r="C4">
        <v>2</v>
      </c>
      <c r="E4" s="6" t="s">
        <v>18</v>
      </c>
      <c r="F4">
        <v>651000000</v>
      </c>
      <c r="H4" s="6">
        <v>2009</v>
      </c>
      <c r="I4">
        <v>77</v>
      </c>
    </row>
    <row r="5" spans="1:9" x14ac:dyDescent="0.35">
      <c r="A5" s="6" t="s">
        <v>28</v>
      </c>
      <c r="B5">
        <v>77.599999999999994</v>
      </c>
      <c r="C5">
        <v>20</v>
      </c>
      <c r="E5" s="6" t="s">
        <v>44</v>
      </c>
      <c r="F5">
        <v>80000000</v>
      </c>
      <c r="H5" s="6">
        <v>2013</v>
      </c>
      <c r="I5">
        <v>75</v>
      </c>
    </row>
    <row r="6" spans="1:9" x14ac:dyDescent="0.35">
      <c r="A6" s="6" t="s">
        <v>58</v>
      </c>
      <c r="B6">
        <v>72.2</v>
      </c>
      <c r="C6">
        <v>10</v>
      </c>
      <c r="E6" s="6" t="s">
        <v>40</v>
      </c>
      <c r="F6">
        <v>487000000</v>
      </c>
      <c r="H6" s="6">
        <v>2014</v>
      </c>
      <c r="I6">
        <v>77.666666666666671</v>
      </c>
    </row>
    <row r="7" spans="1:9" x14ac:dyDescent="0.35">
      <c r="A7" s="6" t="s">
        <v>134</v>
      </c>
      <c r="B7">
        <v>83.222222222222229</v>
      </c>
      <c r="C7">
        <v>54</v>
      </c>
      <c r="E7" s="6" t="s">
        <v>16</v>
      </c>
      <c r="F7">
        <v>1487000000</v>
      </c>
      <c r="H7" s="6">
        <v>2015</v>
      </c>
      <c r="I7">
        <v>67.333333333333329</v>
      </c>
    </row>
    <row r="8" spans="1:9" x14ac:dyDescent="0.35">
      <c r="E8" s="6" t="s">
        <v>134</v>
      </c>
      <c r="F8">
        <v>4494000000</v>
      </c>
      <c r="H8" s="6">
        <v>2016</v>
      </c>
      <c r="I8">
        <v>97.5</v>
      </c>
    </row>
    <row r="9" spans="1:9" x14ac:dyDescent="0.35">
      <c r="H9" s="6">
        <v>2017</v>
      </c>
      <c r="I9">
        <v>107.8</v>
      </c>
    </row>
    <row r="10" spans="1:9" x14ac:dyDescent="0.35">
      <c r="H10" s="6">
        <v>2018</v>
      </c>
      <c r="I10">
        <v>89.090909090909093</v>
      </c>
    </row>
    <row r="11" spans="1:9" x14ac:dyDescent="0.35">
      <c r="H11" s="6">
        <v>2019</v>
      </c>
      <c r="I11">
        <v>81.571428571428569</v>
      </c>
    </row>
    <row r="12" spans="1:9" x14ac:dyDescent="0.35">
      <c r="H12" s="6">
        <v>2020</v>
      </c>
      <c r="I12">
        <v>69.400000000000006</v>
      </c>
    </row>
    <row r="13" spans="1:9" x14ac:dyDescent="0.35">
      <c r="H13" s="6">
        <v>2021</v>
      </c>
      <c r="I13">
        <v>87.333333333333329</v>
      </c>
    </row>
    <row r="14" spans="1:9" x14ac:dyDescent="0.35">
      <c r="H14" s="6" t="s">
        <v>134</v>
      </c>
      <c r="I14">
        <v>83.222222222222229</v>
      </c>
    </row>
    <row r="22" spans="1:3" x14ac:dyDescent="0.35">
      <c r="A22" t="s">
        <v>135</v>
      </c>
      <c r="B22" t="s">
        <v>137</v>
      </c>
      <c r="C22" t="s">
        <v>136</v>
      </c>
    </row>
    <row r="23" spans="1:3" x14ac:dyDescent="0.35">
      <c r="A23">
        <v>54</v>
      </c>
      <c r="B23" s="13">
        <v>4494000000</v>
      </c>
      <c r="C23" s="14">
        <v>83.222222222222229</v>
      </c>
    </row>
  </sheetData>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7F71A-AA08-40AC-B3EB-1B679A636A27}">
  <dimension ref="A1:E11"/>
  <sheetViews>
    <sheetView workbookViewId="0">
      <selection activeCell="C1" sqref="C1:D1"/>
    </sheetView>
  </sheetViews>
  <sheetFormatPr defaultRowHeight="14.5" x14ac:dyDescent="0.35"/>
  <cols>
    <col min="1" max="1" width="26.08984375" customWidth="1"/>
    <col min="2" max="2" width="12.453125" customWidth="1"/>
    <col min="3" max="3" width="12.6328125" customWidth="1"/>
    <col min="5" max="5" width="10" bestFit="1" customWidth="1"/>
  </cols>
  <sheetData>
    <row r="1" spans="1:5" x14ac:dyDescent="0.35">
      <c r="D1" s="7"/>
      <c r="E1" s="7">
        <f>B6</f>
        <v>150000000</v>
      </c>
    </row>
    <row r="2" spans="1:5" x14ac:dyDescent="0.35">
      <c r="A2" s="9" t="s">
        <v>138</v>
      </c>
      <c r="B2" s="10">
        <v>1</v>
      </c>
      <c r="D2" s="11">
        <v>0.8</v>
      </c>
      <c r="E2" s="11">
        <f t="dataTable" ref="E2:E4" dt2D="0" dtr="0" r1="B2"/>
        <v>120000000</v>
      </c>
    </row>
    <row r="3" spans="1:5" x14ac:dyDescent="0.35">
      <c r="A3" s="9" t="s">
        <v>139</v>
      </c>
      <c r="B3" s="10">
        <v>3000</v>
      </c>
      <c r="D3" s="11">
        <v>1</v>
      </c>
      <c r="E3" s="11">
        <v>150000000</v>
      </c>
    </row>
    <row r="4" spans="1:5" x14ac:dyDescent="0.35">
      <c r="A4" s="9" t="s">
        <v>140</v>
      </c>
      <c r="B4" s="10">
        <v>1000000</v>
      </c>
      <c r="D4" s="11">
        <v>0.7</v>
      </c>
      <c r="E4" s="11">
        <v>105000000</v>
      </c>
    </row>
    <row r="5" spans="1:5" x14ac:dyDescent="0.35">
      <c r="A5" s="9"/>
      <c r="B5" s="10"/>
    </row>
    <row r="6" spans="1:5" x14ac:dyDescent="0.35">
      <c r="A6" s="9" t="s">
        <v>141</v>
      </c>
      <c r="B6" s="10">
        <f>B2*B3*B4*0.05</f>
        <v>150000000</v>
      </c>
    </row>
    <row r="9" spans="1:5" x14ac:dyDescent="0.35">
      <c r="B9" s="7">
        <v>0.8</v>
      </c>
      <c r="C9" s="7" t="s">
        <v>144</v>
      </c>
      <c r="D9" s="12"/>
    </row>
    <row r="10" spans="1:5" x14ac:dyDescent="0.35">
      <c r="B10" s="7">
        <v>1</v>
      </c>
      <c r="C10" s="7" t="s">
        <v>142</v>
      </c>
    </row>
    <row r="11" spans="1:5" x14ac:dyDescent="0.35">
      <c r="B11" s="7">
        <v>0.7</v>
      </c>
      <c r="C11" s="7"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DFE66-2C9F-4759-8694-70388CBCE12E}">
  <dimension ref="A1"/>
  <sheetViews>
    <sheetView showGridLines="0" zoomScale="106" workbookViewId="0">
      <selection activeCell="M13" sqref="M13"/>
    </sheetView>
  </sheetViews>
  <sheetFormatPr defaultColWidth="8.90625" defaultRowHeight="14.5" x14ac:dyDescent="0.35"/>
  <cols>
    <col min="1" max="16384" width="8.9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Players</vt:lpstr>
      <vt:lpstr>Pivot_Analysis</vt:lpstr>
      <vt:lpstr>Modeling_Sheet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CyPHER</dc:creator>
  <cp:lastModifiedBy>Swathi S</cp:lastModifiedBy>
  <dcterms:created xsi:type="dcterms:W3CDTF">2025-10-10T09:46:40Z</dcterms:created>
  <dcterms:modified xsi:type="dcterms:W3CDTF">2026-04-21T07:42:46Z</dcterms:modified>
</cp:coreProperties>
</file>